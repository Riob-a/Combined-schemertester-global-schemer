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1 Yoga\Desktop\code ya pri\DRy-Run\"/>
    </mc:Choice>
  </mc:AlternateContent>
  <xr:revisionPtr revIDLastSave="0" documentId="13_ncr:1_{99BB5551-B317-4ADD-AE05-FAAEC8AB16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ex" sheetId="1" r:id="rId1"/>
    <sheet name="accident_rep" sheetId="2" r:id="rId2"/>
    <sheet name="acoustic_detection" sheetId="3" r:id="rId3"/>
    <sheet name="activity_rep" sheetId="4" r:id="rId4"/>
    <sheet name="all_posts" sheetId="5" r:id="rId5"/>
    <sheet name="animal_control_rep" sheetId="6" r:id="rId6"/>
    <sheet name="arrest_rep" sheetId="7" r:id="rId7"/>
    <sheet name="cameratrap_rep" sheetId="8" r:id="rId8"/>
    <sheet name="carcass_rep" sheetId="9" r:id="rId9"/>
    <sheet name="confiscation_rep" sheetId="10" r:id="rId10"/>
    <sheet name="contact_rep" sheetId="11" r:id="rId11"/>
    <sheet name="entry_alert_rep" sheetId="12" r:id="rId12"/>
    <sheet name="fence_rep" sheetId="13" r:id="rId13"/>
    <sheet name="fire_rep" sheetId="14" r:id="rId14"/>
    <sheet name="geofence_break" sheetId="15" r:id="rId15"/>
    <sheet name="gfw_activefire_alert" sheetId="16" r:id="rId16"/>
    <sheet name="gfw_glad_alert" sheetId="17" r:id="rId17"/>
    <sheet name="hwc_rep" sheetId="18" r:id="rId18"/>
    <sheet name="immobility" sheetId="19" r:id="rId19"/>
    <sheet name="immobility_all_clear" sheetId="20" r:id="rId20"/>
    <sheet name="incident_collection" sheetId="21" r:id="rId21"/>
    <sheet name="injured_animal_rep" sheetId="22" r:id="rId22"/>
    <sheet name="invasive_species_rep" sheetId="23" r:id="rId23"/>
    <sheet name="light_rep" sheetId="24" r:id="rId24"/>
    <sheet name="low_speed_percentile" sheetId="25" r:id="rId25"/>
    <sheet name="low_speed_wilcoxon" sheetId="26" r:id="rId26"/>
    <sheet name="low_speed_wilcoxon_all_clear" sheetId="27" r:id="rId27"/>
    <sheet name="medevac_rep" sheetId="28" r:id="rId28"/>
    <sheet name="mist_rep" sheetId="29" r:id="rId29"/>
    <sheet name="poacher_camp_rep" sheetId="30" r:id="rId30"/>
    <sheet name="proximity" sheetId="31" r:id="rId31"/>
    <sheet name="radio_rep" sheetId="32" r:id="rId32"/>
    <sheet name="rainfall_rep" sheetId="33" r:id="rId33"/>
    <sheet name="ranger_shot_rep" sheetId="34" r:id="rId34"/>
    <sheet name="rhino_sighting_rep" sheetId="35" r:id="rId35"/>
    <sheet name="shot_rep" sheetId="36" r:id="rId36"/>
    <sheet name="silence_source_provider_rep" sheetId="37" r:id="rId37"/>
    <sheet name="silence_source_rep" sheetId="38" r:id="rId38"/>
    <sheet name="sit_rep" sheetId="39" r:id="rId39"/>
    <sheet name="snare_rep" sheetId="40" r:id="rId40"/>
    <sheet name="spoor_rep" sheetId="41" r:id="rId41"/>
    <sheet name="subject_proximity" sheetId="42" r:id="rId42"/>
    <sheet name="traffic_rep" sheetId="43" r:id="rId43"/>
    <sheet name="wildlife_sighting_rep" sheetId="44" r:id="rId44"/>
  </sheets>
  <definedNames>
    <definedName name="_xlnm._FilterDatabase" localSheetId="1" hidden="1">accident_rep!$A$1:$X$4</definedName>
    <definedName name="_xlnm._FilterDatabase" localSheetId="2" hidden="1">acoustic_detection!$A$1:$X$4</definedName>
    <definedName name="_xlnm._FilterDatabase" localSheetId="3" hidden="1">activity_rep!$A$1:$X$5</definedName>
    <definedName name="_xlnm._FilterDatabase" localSheetId="4" hidden="1">all_posts!$A$1:$X$7</definedName>
    <definedName name="_xlnm._FilterDatabase" localSheetId="5" hidden="1">animal_control_rep!$A$1:$X$5</definedName>
    <definedName name="_xlnm._FilterDatabase" localSheetId="6" hidden="1">arrest_rep!$A$1:$X$11</definedName>
    <definedName name="_xlnm._FilterDatabase" localSheetId="7" hidden="1">cameratrap_rep!$A$1:$X$4</definedName>
    <definedName name="_xlnm._FilterDatabase" localSheetId="8" hidden="1">carcass_rep!$A$1:$X$7</definedName>
    <definedName name="_xlnm._FilterDatabase" localSheetId="9" hidden="1">confiscation_rep!$A$1:$X$5</definedName>
    <definedName name="_xlnm._FilterDatabase" localSheetId="10" hidden="1">contact_rep!$A$1:$X$10</definedName>
    <definedName name="_xlnm._FilterDatabase" localSheetId="11" hidden="1">entry_alert_rep!$A$1:$X$3</definedName>
    <definedName name="_xlnm._FilterDatabase" localSheetId="12" hidden="1">fence_rep!$A$1:$X$5</definedName>
    <definedName name="_xlnm._FilterDatabase" localSheetId="13" hidden="1">fire_rep!$A$1:$X$4</definedName>
    <definedName name="_xlnm._FilterDatabase" localSheetId="14" hidden="1">geofence_break!$A$1:$X$8</definedName>
    <definedName name="_xlnm._FilterDatabase" localSheetId="15" hidden="1">gfw_activefire_alert!$A$1:$X$10</definedName>
    <definedName name="_xlnm._FilterDatabase" localSheetId="16" hidden="1">gfw_glad_alert!$A$1:$X$5</definedName>
    <definedName name="_xlnm._FilterDatabase" localSheetId="17" hidden="1">hwc_rep!$A$1:$X$9</definedName>
    <definedName name="_xlnm._FilterDatabase" localSheetId="18" hidden="1">immobility!$A$1:$X$7</definedName>
    <definedName name="_xlnm._FilterDatabase" localSheetId="19" hidden="1">immobility_all_clear!$A$1:$X$7</definedName>
    <definedName name="_xlnm._FilterDatabase" localSheetId="20" hidden="1">incident_collection!$A$1:$X$4</definedName>
    <definedName name="_xlnm._FilterDatabase" localSheetId="0" hidden="1">Index!$A$1:$O$44</definedName>
    <definedName name="_xlnm._FilterDatabase" localSheetId="21" hidden="1">injured_animal_rep!$A$1:$X$5</definedName>
    <definedName name="_xlnm._FilterDatabase" localSheetId="22" hidden="1">invasive_species_rep!$A$1:$X$4</definedName>
    <definedName name="_xlnm._FilterDatabase" localSheetId="23" hidden="1">light_rep!$A$1:$X$6</definedName>
    <definedName name="_xlnm._FilterDatabase" localSheetId="24" hidden="1">low_speed_percentile!$A$1:$X$7</definedName>
    <definedName name="_xlnm._FilterDatabase" localSheetId="25" hidden="1">low_speed_wilcoxon!$A$1:$X$5</definedName>
    <definedName name="_xlnm._FilterDatabase" localSheetId="26" hidden="1">low_speed_wilcoxon_all_clear!$A$1:$X$6</definedName>
    <definedName name="_xlnm._FilterDatabase" localSheetId="27" hidden="1">medevac_rep!$A$1:$X$11</definedName>
    <definedName name="_xlnm._FilterDatabase" localSheetId="28" hidden="1">mist_rep!$A$1:$X$5</definedName>
    <definedName name="_xlnm._FilterDatabase" localSheetId="29" hidden="1">poacher_camp_rep!$A$1:$X$4</definedName>
    <definedName name="_xlnm._FilterDatabase" localSheetId="30" hidden="1">proximity!$A$1:$X$8</definedName>
    <definedName name="_xlnm._FilterDatabase" localSheetId="31" hidden="1">radio_rep!$A$1:$X$2</definedName>
    <definedName name="_xlnm._FilterDatabase" localSheetId="32" hidden="1">rainfall_rep!$A$1:$X$3</definedName>
    <definedName name="_xlnm._FilterDatabase" localSheetId="33" hidden="1">ranger_shot_rep!$A$1:$X$5</definedName>
    <definedName name="_xlnm._FilterDatabase" localSheetId="34" hidden="1">rhino_sighting_rep!$A$1:$X$5</definedName>
    <definedName name="_xlnm._FilterDatabase" localSheetId="35" hidden="1">shot_rep!$A$1:$X$8</definedName>
    <definedName name="_xlnm._FilterDatabase" localSheetId="36" hidden="1">silence_source_provider_rep!$A$1:$X$4</definedName>
    <definedName name="_xlnm._FilterDatabase" localSheetId="37" hidden="1">silence_source_rep!$A$1:$X$8</definedName>
    <definedName name="_xlnm._FilterDatabase" localSheetId="38" hidden="1">sit_rep!$A$1:$X$4</definedName>
    <definedName name="_xlnm._FilterDatabase" localSheetId="39" hidden="1">snare_rep!$A$1:$X$5</definedName>
    <definedName name="_xlnm._FilterDatabase" localSheetId="40" hidden="1">spoor_rep!$A$1:$X$6</definedName>
    <definedName name="_xlnm._FilterDatabase" localSheetId="41" hidden="1">subject_proximity!$A$1:$X$11</definedName>
    <definedName name="_xlnm._FilterDatabase" localSheetId="42" hidden="1">traffic_rep!$A$1:$X$8</definedName>
    <definedName name="_xlnm._FilterDatabase" localSheetId="43" hidden="1">wildlife_sighting_rep!$A$1:$X$4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1" l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<sst xmlns="http://schemas.openxmlformats.org/spreadsheetml/2006/main" count="3305" uniqueCount="702">
  <si>
    <t>event_value</t>
  </si>
  <si>
    <t>schema_title</t>
  </si>
  <si>
    <t>api_version</t>
  </si>
  <si>
    <t>schema_id</t>
  </si>
  <si>
    <t>icon_id</t>
  </si>
  <si>
    <t>image_url</t>
  </si>
  <si>
    <t>n_fields</t>
  </si>
  <si>
    <t>n_enums</t>
  </si>
  <si>
    <t>event_name</t>
  </si>
  <si>
    <t>event_category_display</t>
  </si>
  <si>
    <t>event_category_id</t>
  </si>
  <si>
    <t>event_is_active</t>
  </si>
  <si>
    <t>event_updated_at</t>
  </si>
  <si>
    <t>sheet_name</t>
  </si>
  <si>
    <t>Open</t>
  </si>
  <si>
    <t>accident_rep</t>
  </si>
  <si>
    <t>acoustic_detection</t>
  </si>
  <si>
    <t>activity_rep</t>
  </si>
  <si>
    <t>all_posts</t>
  </si>
  <si>
    <t>animal_control_rep</t>
  </si>
  <si>
    <t>arrest_rep</t>
  </si>
  <si>
    <t>cameratrap_rep</t>
  </si>
  <si>
    <t>carcass_rep</t>
  </si>
  <si>
    <t>confiscation_rep</t>
  </si>
  <si>
    <t>contact_rep</t>
  </si>
  <si>
    <t>entry_alert_rep</t>
  </si>
  <si>
    <t>fence_rep</t>
  </si>
  <si>
    <t>fire_rep</t>
  </si>
  <si>
    <t>geofence_break</t>
  </si>
  <si>
    <t>gfw_activefire_alert</t>
  </si>
  <si>
    <t>gfw_glad_alert</t>
  </si>
  <si>
    <t>hwc_rep</t>
  </si>
  <si>
    <t>immobility</t>
  </si>
  <si>
    <t>immobility_all_clear</t>
  </si>
  <si>
    <t>incident_collection</t>
  </si>
  <si>
    <t>injured_animal_rep</t>
  </si>
  <si>
    <t>invasive_species_rep</t>
  </si>
  <si>
    <t>light_rep</t>
  </si>
  <si>
    <t>low_speed_percentile</t>
  </si>
  <si>
    <t>low_speed_wilcoxon</t>
  </si>
  <si>
    <t>low_speed_wilcoxon_all_clear</t>
  </si>
  <si>
    <t>medevac_rep</t>
  </si>
  <si>
    <t>mist_rep</t>
  </si>
  <si>
    <t>poacher_camp_rep</t>
  </si>
  <si>
    <t>proximity</t>
  </si>
  <si>
    <t>radio_rep</t>
  </si>
  <si>
    <t>rainfall_rep</t>
  </si>
  <si>
    <t>ranger_shot_rep</t>
  </si>
  <si>
    <t>rhino_sighting_rep</t>
  </si>
  <si>
    <t>shot_rep</t>
  </si>
  <si>
    <t>silence_source_provider_rep</t>
  </si>
  <si>
    <t>silence_source_rep</t>
  </si>
  <si>
    <t>sit_rep</t>
  </si>
  <si>
    <t>snare_rep</t>
  </si>
  <si>
    <t>spoor_rep</t>
  </si>
  <si>
    <t>subject_proximity</t>
  </si>
  <si>
    <t>traffic_rep</t>
  </si>
  <si>
    <t>wildlife_sighting_rep</t>
  </si>
  <si>
    <t>EventType Test Data</t>
  </si>
  <si>
    <t>Acoustic Detection (acoustic_detection)</t>
  </si>
  <si>
    <t>Activity Report (activity_rep)</t>
  </si>
  <si>
    <t>EventType Data</t>
  </si>
  <si>
    <t>Animal Control Report (animal_control_rep)</t>
  </si>
  <si>
    <t>Arrest Report (arrest_rep)</t>
  </si>
  <si>
    <t>Camera Trap Event Schema</t>
  </si>
  <si>
    <t>Carcass Report (carcass_rep)</t>
  </si>
  <si>
    <t>Confiscation Report (confiscation_rep)</t>
  </si>
  <si>
    <t>Contact Report (contact_rep)</t>
  </si>
  <si>
    <t>Entry Alert</t>
  </si>
  <si>
    <t>Fence Report (fence_rep)</t>
  </si>
  <si>
    <t>Fire Report (fire_rep)</t>
  </si>
  <si>
    <t>EventType Geofencing</t>
  </si>
  <si>
    <t>Event Type Global Forest Watch Active Fire Alert</t>
  </si>
  <si>
    <t>Event Type Global Forest Watch Tree Loss Alert</t>
  </si>
  <si>
    <t>Human Wildlife Conflict Report (hwc_rep)</t>
  </si>
  <si>
    <t>EventType Immobility</t>
  </si>
  <si>
    <t>Incident Collection</t>
  </si>
  <si>
    <t>Injured Animal Report (injured_animal_rep)</t>
  </si>
  <si>
    <t>Invasive Species (invasive_species_rep)</t>
  </si>
  <si>
    <t>Light Report (light_rep)</t>
  </si>
  <si>
    <t>EventType Low Speed Percentile</t>
  </si>
  <si>
    <t>EventType Low Speed Wilcox</t>
  </si>
  <si>
    <t>EventType Low Speed Wilcox All Clear</t>
  </si>
  <si>
    <t>MedEvac Report (medevac_rep)</t>
  </si>
  <si>
    <t>MIST Report (mist_rep)</t>
  </si>
  <si>
    <t>Poacher Camp Report (poacher_camp_rep)</t>
  </si>
  <si>
    <t>EventType Proximity</t>
  </si>
  <si>
    <t>Radio Report (radio_rep)</t>
  </si>
  <si>
    <t>Rainfall Report (rainfall_rep)</t>
  </si>
  <si>
    <t>Ranger Shot Report (ranger_shot_rep)</t>
  </si>
  <si>
    <t>Rhino Sighting (rhino_sighting_rep)</t>
  </si>
  <si>
    <t>Shot Report</t>
  </si>
  <si>
    <t>Sit Rep Report (sit_rep)</t>
  </si>
  <si>
    <t>Snare Report (snare_rep)</t>
  </si>
  <si>
    <t>Spoor Report (spoor_rep)</t>
  </si>
  <si>
    <t>Subject Proximity Schema</t>
  </si>
  <si>
    <t>Traffic Report (traffic_rep)</t>
  </si>
  <si>
    <t>Other Wildlife Sighting Report (wildlife_sighting_rep)</t>
  </si>
  <si>
    <t>v1</t>
  </si>
  <si>
    <t>https://catalyse.pamdas.org/api/v1.0/activity/events/schema/eventtype/accident_rep</t>
  </si>
  <si>
    <t>https://catalyse.pamdas.org/api/v1.0/activity/events/schema/eventtype/acoustic_detection</t>
  </si>
  <si>
    <t>https://catalyse.pamdas.org/api/v1.0/activity/events/schema/eventtype/activity_rep</t>
  </si>
  <si>
    <t>https://catalyse.pamdas.org/api/v1.0/activity/events/schema/eventtype/all_posts</t>
  </si>
  <si>
    <t>https://catalyse.pamdas.org/api/v1.0/activity/events/schema/eventtype/animal_control_rep</t>
  </si>
  <si>
    <t>https://catalyse.pamdas.org/api/v1.0/activity/events/schema/eventtype/arrest_rep</t>
  </si>
  <si>
    <t>https://catalyse.pamdas.org/api/v1.0/activity/events/schema/eventtype/cameratrap_rep</t>
  </si>
  <si>
    <t>https://catalyse.pamdas.org/api/v1.0/activity/events/schema/eventtype/carcass_rep</t>
  </si>
  <si>
    <t>https://catalyse.pamdas.org/api/v1.0/activity/events/schema/eventtype/confiscation_rep</t>
  </si>
  <si>
    <t>https://catalyse.pamdas.org/api/v1.0/activity/events/schema/eventtype/contact_rep</t>
  </si>
  <si>
    <t>https://catalyse.pamdas.org/api/v1.0/activity/events/schema/eventtype/entry_alert_rep</t>
  </si>
  <si>
    <t>https://catalyse.pamdas.org/api/v1.0/activity/events/schema/eventtype/fence_rep</t>
  </si>
  <si>
    <t>https://catalyse.pamdas.org/api/v1.0/activity/events/schema/eventtype/fire_rep</t>
  </si>
  <si>
    <t>https://catalyse.pamdas.org/api/v1.0/activity/events/schema/eventtype/geofence_break</t>
  </si>
  <si>
    <t>https://catalyse.pamdas.org/api/v1.0/activity/events/schema/eventtype/gfw_activefire_alert</t>
  </si>
  <si>
    <t>https://catalyse.pamdas.org/api/v1.0/activity/events/schema/eventtype/gfw_glad_alert</t>
  </si>
  <si>
    <t>https://catalyse.pamdas.org/api/v1.0/activity/events/schema/eventtype/hwc_rep</t>
  </si>
  <si>
    <t>https://catalyse.pamdas.org/api/v1.0/activity/events/schema/eventtype/immobility</t>
  </si>
  <si>
    <t>https://catalyse.pamdas.org/api/v1.0/activity/events/schema/eventtype/immobility_all_clear</t>
  </si>
  <si>
    <t>https://catalyse.pamdas.org/api/v1.0/activity/events/schema/eventtype/incident_collection</t>
  </si>
  <si>
    <t>https://catalyse.pamdas.org/api/v1.0/activity/events/schema/eventtype/injured_animal_rep</t>
  </si>
  <si>
    <t>https://catalyse.pamdas.org/api/v1.0/activity/events/schema/eventtype/invasive_species_rep</t>
  </si>
  <si>
    <t>https://catalyse.pamdas.org/api/v1.0/activity/events/schema/eventtype/light_rep</t>
  </si>
  <si>
    <t>https://catalyse.pamdas.org/api/v1.0/activity/events/schema/eventtype/low_speed_percentile</t>
  </si>
  <si>
    <t>https://catalyse.pamdas.org/api/v1.0/activity/events/schema/eventtype/low_speed_wilcoxon</t>
  </si>
  <si>
    <t>https://catalyse.pamdas.org/api/v1.0/activity/events/schema/eventtype/low_speed_wilcoxon_all_clear</t>
  </si>
  <si>
    <t>https://catalyse.pamdas.org/api/v1.0/activity/events/schema/eventtype/medevac_rep</t>
  </si>
  <si>
    <t>https://catalyse.pamdas.org/api/v1.0/activity/events/schema/eventtype/mist_rep</t>
  </si>
  <si>
    <t>https://catalyse.pamdas.org/api/v1.0/activity/events/schema/eventtype/poacher_camp_rep</t>
  </si>
  <si>
    <t>https://catalyse.pamdas.org/api/v1.0/activity/events/schema/eventtype/proximity</t>
  </si>
  <si>
    <t>https://catalyse.pamdas.org/api/v1.0/activity/events/schema/eventtype/radio_rep</t>
  </si>
  <si>
    <t>https://catalyse.pamdas.org/api/v1.0/activity/events/schema/eventtype/rainfall_rep</t>
  </si>
  <si>
    <t>https://catalyse.pamdas.org/api/v1.0/activity/events/schema/eventtype/ranger_shot_rep</t>
  </si>
  <si>
    <t>https://catalyse.pamdas.org/api/v1.0/activity/events/schema/eventtype/rhino_sighting_rep</t>
  </si>
  <si>
    <t>https://catalyse.pamdas.org/api/v1.0/activity/events/schema/eventtype/shot_rep</t>
  </si>
  <si>
    <t>https://catalyse.pamdas.org/api/v1.0/activity/events/schema/eventtype/silence_source_provider_rep</t>
  </si>
  <si>
    <t>https://catalyse.pamdas.org/api/v1.0/activity/events/schema/eventtype/silence_source_rep</t>
  </si>
  <si>
    <t>https://catalyse.pamdas.org/api/v1.0/activity/events/schema/eventtype/sit_rep</t>
  </si>
  <si>
    <t>https://catalyse.pamdas.org/api/v1.0/activity/events/schema/eventtype/snare_rep</t>
  </si>
  <si>
    <t>https://catalyse.pamdas.org/api/v1.0/activity/events/schema/eventtype/spoor_rep</t>
  </si>
  <si>
    <t>https://catalyse.pamdas.org/api/v1.0/activity/events/schema/eventtype/subject_proximity</t>
  </si>
  <si>
    <t>https://catalyse.pamdas.org/api/v1.0/activity/events/schema/eventtype/traffic_rep</t>
  </si>
  <si>
    <t>https://catalyse.pamdas.org/api/v1.0/activity/events/schema/eventtype/wildlife_sighting_rep</t>
  </si>
  <si>
    <t>radar_rep</t>
  </si>
  <si>
    <t>deforestation_rep</t>
  </si>
  <si>
    <t>https://catalyse.pamdas.org/static/accident-black.svg</t>
  </si>
  <si>
    <t>https://catalyse.pamdas.org/static/sprite-src/radar_rep.svg</t>
  </si>
  <si>
    <t>https://catalyse.pamdas.org/static/sprite-src/activity_rep.svg</t>
  </si>
  <si>
    <t>https://catalyse.pamdas.org/static/all_posts-black.svg</t>
  </si>
  <si>
    <t>https://catalyse.pamdas.org/static/animal_control-black.svg</t>
  </si>
  <si>
    <t>https://catalyse.pamdas.org/static/arrest-black.svg</t>
  </si>
  <si>
    <t>https://catalyse.pamdas.org/static/cameratrap-black.svg</t>
  </si>
  <si>
    <t>https://catalyse.pamdas.org/static/carcass-black.svg</t>
  </si>
  <si>
    <t>https://catalyse.pamdas.org/static/sprite-src/confiscation_rep.svg</t>
  </si>
  <si>
    <t>https://catalyse.pamdas.org/static/contact-black.svg</t>
  </si>
  <si>
    <t>https://catalyse.pamdas.org/static/sprite-src/entry_alert_rep.svg</t>
  </si>
  <si>
    <t>https://catalyse.pamdas.org/static/sprite-src/fence_rep.svg</t>
  </si>
  <si>
    <t>https://catalyse.pamdas.org/static/fire-black.svg</t>
  </si>
  <si>
    <t>https://catalyse.pamdas.org/static/geofence_break-black.svg</t>
  </si>
  <si>
    <t>https://catalyse.pamdas.org/static/sprite-src/deforestation_rep.svg</t>
  </si>
  <si>
    <t>https://catalyse.pamdas.org/static/hwc_rep-black.svg</t>
  </si>
  <si>
    <t>https://catalyse.pamdas.org/static/immobility-black.svg</t>
  </si>
  <si>
    <t>https://catalyse.pamdas.org/static/immobility_all_clear-black.svg</t>
  </si>
  <si>
    <t>https://catalyse.pamdas.org/static/incident_collection-black.svg</t>
  </si>
  <si>
    <t>https://catalyse.pamdas.org/static/injured_animal-black.svg</t>
  </si>
  <si>
    <t>https://catalyse.pamdas.org/static/invasive_species-black.svg</t>
  </si>
  <si>
    <t>https://catalyse.pamdas.org/static/sprite-src/light_rep.svg</t>
  </si>
  <si>
    <t>https://catalyse.pamdas.org/static/low_speed_percentile-black.svg</t>
  </si>
  <si>
    <t>https://catalyse.pamdas.org/static/low_speed_wilcoxon-black.svg</t>
  </si>
  <si>
    <t>https://catalyse.pamdas.org/static/generic-black.svg</t>
  </si>
  <si>
    <t>https://catalyse.pamdas.org/static/medevac_rep-black.svg</t>
  </si>
  <si>
    <t>https://catalyse.pamdas.org/static/mist-black.svg</t>
  </si>
  <si>
    <t>https://catalyse.pamdas.org/static/poacher_camp-black.svg</t>
  </si>
  <si>
    <t>https://catalyse.pamdas.org/static/sprite-src/proximity.svg</t>
  </si>
  <si>
    <t>https://catalyse.pamdas.org/static/radio-black.svg</t>
  </si>
  <si>
    <t>https://catalyse.pamdas.org/static/sprite-src/rainfall_rep.svg</t>
  </si>
  <si>
    <t>https://catalyse.pamdas.org/static/ranger_shot_rep-black.svg</t>
  </si>
  <si>
    <t>https://catalyse.pamdas.org/static/rhino_sighting-black.svg</t>
  </si>
  <si>
    <t>https://catalyse.pamdas.org/static/shot_rep-black.svg</t>
  </si>
  <si>
    <t>https://catalyse.pamdas.org/static/sprite-src/silence_source_provider_rep.svg</t>
  </si>
  <si>
    <t>https://catalyse.pamdas.org/static/sprite-src/silence_source_rep.svg</t>
  </si>
  <si>
    <t>https://catalyse.pamdas.org/static/sit_rep-black.svg</t>
  </si>
  <si>
    <t>https://catalyse.pamdas.org/static/snare-black.svg</t>
  </si>
  <si>
    <t>https://catalyse.pamdas.org/static/spoor-black.svg</t>
  </si>
  <si>
    <t>https://catalyse.pamdas.org/static/sprite-src/subject_proximity.svg</t>
  </si>
  <si>
    <t>https://catalyse.pamdas.org/static/traffic_rep-black.svg</t>
  </si>
  <si>
    <t>https://catalyse.pamdas.org/static/wildlife_sighting-black.svg</t>
  </si>
  <si>
    <t>Accident</t>
  </si>
  <si>
    <t>Acoustic Detection</t>
  </si>
  <si>
    <t>Suspicious Activity</t>
  </si>
  <si>
    <t>All Posts</t>
  </si>
  <si>
    <t>Animal Control</t>
  </si>
  <si>
    <t>Arrest</t>
  </si>
  <si>
    <t>Camera Trap</t>
  </si>
  <si>
    <t>Carcass</t>
  </si>
  <si>
    <t>Confiscation</t>
  </si>
  <si>
    <t>Poacher Contact</t>
  </si>
  <si>
    <t>Fence</t>
  </si>
  <si>
    <t>Fire</t>
  </si>
  <si>
    <t>Geofence Break</t>
  </si>
  <si>
    <t>Active Fire Alert (GFW)</t>
  </si>
  <si>
    <t>GLAD Tree-Loss Alert (GFW)</t>
  </si>
  <si>
    <t>Human Wildlife Contact</t>
  </si>
  <si>
    <t>Immobility</t>
  </si>
  <si>
    <t>Immobility All Clear</t>
  </si>
  <si>
    <t>Injured Animal</t>
  </si>
  <si>
    <t>Invasive Species</t>
  </si>
  <si>
    <t>Light</t>
  </si>
  <si>
    <t>Low Speed (Percentile)</t>
  </si>
  <si>
    <t>Low Speed (Wilcoxon)</t>
  </si>
  <si>
    <t>Low Speed (Wilcoxon) All Clear</t>
  </si>
  <si>
    <t>MedEvac</t>
  </si>
  <si>
    <t>MIST</t>
  </si>
  <si>
    <t>Poachers Camp</t>
  </si>
  <si>
    <t>Proximity</t>
  </si>
  <si>
    <t>Radio Report</t>
  </si>
  <si>
    <t>Rainfall</t>
  </si>
  <si>
    <t>Ranger Shot</t>
  </si>
  <si>
    <t>Rhino Sighting</t>
  </si>
  <si>
    <t>Shot</t>
  </si>
  <si>
    <t>Silent Source Provider</t>
  </si>
  <si>
    <t>Silent Source</t>
  </si>
  <si>
    <t>SIT-REP</t>
  </si>
  <si>
    <t>Snare</t>
  </si>
  <si>
    <t>Spoor</t>
  </si>
  <si>
    <t>Subject Proximity</t>
  </si>
  <si>
    <t>Traffic</t>
  </si>
  <si>
    <t>Wildlife Sighting</t>
  </si>
  <si>
    <t>Security</t>
  </si>
  <si>
    <t>Analyzer Event</t>
  </si>
  <si>
    <t>Logistics</t>
  </si>
  <si>
    <t>Monitoring</t>
  </si>
  <si>
    <t>HIDDEN</t>
  </si>
  <si>
    <t>7a20aa71-5730-4b82-a1c7-449ca4d31d51</t>
  </si>
  <si>
    <t>63a0a337-b4e0-4c0d-9ba5-de2e84077205</t>
  </si>
  <si>
    <t>d58d5d17-5bc8-44b6-8fe8-a1d73ddeceea</t>
  </si>
  <si>
    <t>5f763996-4606-4381-84ff-e43797f85bb4</t>
  </si>
  <si>
    <t>5ab2965c-a833-42bc-a861-5688499ba51d</t>
  </si>
  <si>
    <t>path</t>
  </si>
  <si>
    <t>json_key</t>
  </si>
  <si>
    <t>ui_title</t>
  </si>
  <si>
    <t>type</t>
  </si>
  <si>
    <t>format</t>
  </si>
  <si>
    <t>required</t>
  </si>
  <si>
    <t>is_array</t>
  </si>
  <si>
    <t>array_item_type</t>
  </si>
  <si>
    <t>enum_values</t>
  </si>
  <si>
    <t>enum_names</t>
  </si>
  <si>
    <t>inactive_enum</t>
  </si>
  <si>
    <t>enum_images</t>
  </si>
  <si>
    <t>minimum</t>
  </si>
  <si>
    <t>maximum</t>
  </si>
  <si>
    <t>pattern</t>
  </si>
  <si>
    <t>default</t>
  </si>
  <si>
    <t>examples</t>
  </si>
  <si>
    <t>description</t>
  </si>
  <si>
    <t>key_ref</t>
  </si>
  <si>
    <t>notes</t>
  </si>
  <si>
    <t>type_accident</t>
  </si>
  <si>
    <t>number_people_involved</t>
  </si>
  <si>
    <t>animals_involved</t>
  </si>
  <si>
    <t>Type of accident</t>
  </si>
  <si>
    <t>Number of people involved</t>
  </si>
  <si>
    <t>Animals involved</t>
  </si>
  <si>
    <t>string</t>
  </si>
  <si>
    <t>number</t>
  </si>
  <si>
    <t>acoustic_detection_classification</t>
  </si>
  <si>
    <t>acoustic_detection_device</t>
  </si>
  <si>
    <t>acoustic_detection_audio_url</t>
  </si>
  <si>
    <t>What was detected</t>
  </si>
  <si>
    <t>Device name</t>
  </si>
  <si>
    <t>Audio URL</t>
  </si>
  <si>
    <t>uri</t>
  </si>
  <si>
    <t>activityrep_whatseen</t>
  </si>
  <si>
    <t>activityrep_bearing</t>
  </si>
  <si>
    <t>activityrep_distance</t>
  </si>
  <si>
    <t>activityrep_patrolresponse</t>
  </si>
  <si>
    <t>What was seen?</t>
  </si>
  <si>
    <t>Bearing (0-360)</t>
  </si>
  <si>
    <t>Distance (m)</t>
  </si>
  <si>
    <t>Patrols Response / Intent</t>
  </si>
  <si>
    <t>post</t>
  </si>
  <si>
    <t>numRangers</t>
  </si>
  <si>
    <t>numSickRangers</t>
  </si>
  <si>
    <t>numRangersOffDuty</t>
  </si>
  <si>
    <t>numRangersAtPost</t>
  </si>
  <si>
    <t>additionalInfo</t>
  </si>
  <si>
    <t>Post</t>
  </si>
  <si>
    <t>Number of Rangers on Patrol</t>
  </si>
  <si>
    <t>Number of Rangers Sick</t>
  </si>
  <si>
    <t>Number of Rangers off Duty</t>
  </si>
  <si>
    <t>Number of Rangers at Post</t>
  </si>
  <si>
    <t>Additional Information</t>
  </si>
  <si>
    <t>unknown</t>
  </si>
  <si>
    <t>{"unknown":"Unknown"}</t>
  </si>
  <si>
    <t>animalcontrolrep_species</t>
  </si>
  <si>
    <t>animalcontrolrep_numberanimals</t>
  </si>
  <si>
    <t>animalcontrolrep_reason</t>
  </si>
  <si>
    <t>animalcontrolrep_shotsfired</t>
  </si>
  <si>
    <t>Animal Species</t>
  </si>
  <si>
    <t>Number of Animals</t>
  </si>
  <si>
    <t>Reason Animal Control Needed</t>
  </si>
  <si>
    <t>Number of Shots Fired</t>
  </si>
  <si>
    <t>baboon
buffalo
dog
elephant
hippo
hyena
leopard
lion
monkey
warthog
wildebeest
zebra
other</t>
  </si>
  <si>
    <t>{"baboon":"Baboon","buffalo":"Buffalo","dog":"Dog","elephant":"Elephant","hippo":"Hippo","hyena":"Hyena","leopard":"Leopard","lion":"Lion","monkey":"Monkey","other":"Other","warthog":"Warthog","wildebeest":"Wildebeest","zebra":"Zebra"}</t>
  </si>
  <si>
    <t>arrestrep_name</t>
  </si>
  <si>
    <t>arrestrep_age</t>
  </si>
  <si>
    <t>arrestrep_dateofbirth</t>
  </si>
  <si>
    <t>arrestrep_villagename</t>
  </si>
  <si>
    <t>arrestrep_nationality</t>
  </si>
  <si>
    <t>arrestrep_reaonforarrest</t>
  </si>
  <si>
    <t>arrestrep_timeofarrest</t>
  </si>
  <si>
    <t>arrestrep_placeofarrest</t>
  </si>
  <si>
    <t>arrestrep_arrestingranger</t>
  </si>
  <si>
    <t>arrestrep_witness</t>
  </si>
  <si>
    <t>Name of Arrestee</t>
  </si>
  <si>
    <t>Age</t>
  </si>
  <si>
    <t>Date of Birth</t>
  </si>
  <si>
    <t>Village Name</t>
  </si>
  <si>
    <t>Nationality</t>
  </si>
  <si>
    <t>Reason for Arrest</t>
  </si>
  <si>
    <t>Time of Arrest</t>
  </si>
  <si>
    <t>Place of Arrest</t>
  </si>
  <si>
    <t>Arresting Ranger</t>
  </si>
  <si>
    <t>Witness (may be multiple)</t>
  </si>
  <si>
    <t>america
angola
botswana
camaroon
centralafricanrepublic
chad
china
congodrc
congobrazzaville
ethiopia
france
gabon
kenya
malawi
mozambique
namibia
rwanda
somalia
southafrica
sudansouth
sudannorth
tanzania
uganda
zambia
zimbabwe
other</t>
  </si>
  <si>
    <t>bushmeat
charcoal
firearm
fishing
grazinglivestock
huntingdogs
ivory
logging
mining
motorbike
poaching
resourceharvesting
rhinohorn
snare
speeding
startingfires
tresspassing
other</t>
  </si>
  <si>
    <t>{"america":"America","angola":"Angola","botswana":"Botswana","camaroon":"Camaroon","centralafricanrepublic":"Central African Republic","chad":"Chad","china":"China","congobrazzaville":"Congo (Brazzaville)","congodrc":"Congo (DRC)","ethiopia":"Ethiopia","france":"France","gabon":"Gabon","kenya":"Kenya","malawi":"Malawi","mozambique":"Mozambique","namibia":"Namibia","other":"Other","rwanda":"Rwanda","somalia":"Somalia","southafrica":"South Africa","sudannorth":"Sudan (North)","sudansouth":"Sudan (South)","tanzania":"Tanzania","uganda":"Uganda","zambia":"Zambia","zimbabwe":"Zimbabwe"}</t>
  </si>
  <si>
    <t>{"bushmeat":"Bush Meat","charcoal":"Charcoal","firearm":"Firearm","fishing":"Fishing","grazinglivestock":"Grazing Livestock","huntingdogs":"Hunting Dogs","ivory":"Ivory","logging":"Logging","mining":"Mining","motorbike":"Motorbike","other":"Other","poaching":"Poaching","resourceharvesting":"Resource Harvesting","rhinohorn":"Rhino Horn","snare":"Snare","speeding":"Speeding","startingfires":"Starting Fires","tresspassing":"Tresspassing"}</t>
  </si>
  <si>
    <t>cameratraprep_camera-name</t>
  </si>
  <si>
    <t>cameratraprep_camera-make</t>
  </si>
  <si>
    <t>cameratraprep_camera-version</t>
  </si>
  <si>
    <t>Camera Name</t>
  </si>
  <si>
    <t>Camera Make</t>
  </si>
  <si>
    <t>Camera Version</t>
  </si>
  <si>
    <t>carcassrep_species</t>
  </si>
  <si>
    <t>carcassrep_sex</t>
  </si>
  <si>
    <t>carcassrep_ageofanimal</t>
  </si>
  <si>
    <t>carcassrep_ageofcarcass</t>
  </si>
  <si>
    <t>carcassrep_trophystatus</t>
  </si>
  <si>
    <t>carcassrep_causeofdeath</t>
  </si>
  <si>
    <t>Species</t>
  </si>
  <si>
    <t>Sex of Animal</t>
  </si>
  <si>
    <t>Age of Animal</t>
  </si>
  <si>
    <t>Age of Carcass</t>
  </si>
  <si>
    <t>Trophy Status</t>
  </si>
  <si>
    <t>Cause of Death</t>
  </si>
  <si>
    <t>bongo
buffalo
cheetah
chimpanzee
crocodile
eland
elephant
giraffe
gorilla
hippo
hyena
kob
kudu
lechwe
leopard
lion
redriverhog
rhino
sable
shoebill
topi
tsessebe
warthog
waterbuck
wildebeest
wilddog
zebra
other</t>
  </si>
  <si>
    <t>male
female
unknown</t>
  </si>
  <si>
    <t>adult
subadult
juvenile
unknown</t>
  </si>
  <si>
    <t>less_than_a_day
within_a_week
within_a_month
more_than_a_month
morethan3months</t>
  </si>
  <si>
    <t>intact
removed
naturallymissing</t>
  </si>
  <si>
    <t>naturaldisease
naturalfightinjury
naturaloldage
naturalpredation
naturalother
unnaturalshot
unnaturalsnare
unnaturalpoisoned
unnaturalother</t>
  </si>
  <si>
    <t>{"bongo":"Bongo","buffalo":"Buffalo","cheetah":"Cheetah","chimpanzee":"Chimpanzee","crocodile":"Crocodile","eland":"Eland","elephant":"Elephant","giraffe":"Giraffe","gorilla":"Gorilla","hippo":"Hippo","hyena":"Hyena","kob":"Kob","kudu":"Kudu","lechwe":"Lechwe","leopard":"Leopard","lion":"Lion","other":"Other","redriverhog":"Red River Hog","rhino":"Rhino","sable":"Sable","shoebill":"Shoebill","topi":"Topi","tsessebe":"Tsessebe","warthog":"Warthog","waterbuck":"Waterbuck","wilddog":"Wild Dog","wildebeest":"Wildebeest","zebra":"Zebra"}</t>
  </si>
  <si>
    <t>{"female":"Female","male":"Male","unknown":"Unknown"}</t>
  </si>
  <si>
    <t>{"adult":"Adult","juvenile":"Juvenile","subadult":"Sub-adult","unknown":"Unknown"}</t>
  </si>
  <si>
    <t>{"less_than_a_day":"1 Day or less","more_than_a_month":"&lt;3 Months","morethan3months":"More than 3 months","within_a_month":"&lt;1 Month","within_a_week":"Fresh (within a week)"}</t>
  </si>
  <si>
    <t>{"intact":"Intact","naturallymissing":"Naturally Missing","removed":"Removed"}</t>
  </si>
  <si>
    <t>{"naturaldisease":"Natural - Disease","naturalfightinjury":"Natural - Fight Injury","naturaloldage":"Natural - Old Age","naturalother":"Natural - Other","naturalpredation":"Natural - Predation","unnaturalother":"Unnatural - Other","unnaturalpoisoned":"Unnatural - Poisoned","unnaturalshot":"Unnatural - Shot","unnaturalsnare":"Unnatural - Snare"}</t>
  </si>
  <si>
    <t>confiscationrep_itemsconfiscated</t>
  </si>
  <si>
    <t>confiscationrep_numberofitems</t>
  </si>
  <si>
    <t>confiscationrep_weightofitems</t>
  </si>
  <si>
    <t>confiscationrep_details</t>
  </si>
  <si>
    <t>Items Confiscated</t>
  </si>
  <si>
    <t>Number of Items</t>
  </si>
  <si>
    <t>Weight of Items (if appropriate)</t>
  </si>
  <si>
    <t>Details</t>
  </si>
  <si>
    <t>trophies
weapons
bushmeat
other</t>
  </si>
  <si>
    <t>{"bushmeat":"Bush Meat","other":"Other","trophies":"Trophies","weapons":"Weapons"}</t>
  </si>
  <si>
    <t>contactrep_poachinggroupsize</t>
  </si>
  <si>
    <t>contactrep_whoinitiatedcontact</t>
  </si>
  <si>
    <t>contactrep_patrolactivity</t>
  </si>
  <si>
    <t>contactrep_rangerresponse</t>
  </si>
  <si>
    <t>contactrep_rangercasualties</t>
  </si>
  <si>
    <t>contactrep_oppositioncasualties</t>
  </si>
  <si>
    <t>contactrep_arrests</t>
  </si>
  <si>
    <t>contactrep_seizedweapons</t>
  </si>
  <si>
    <t>contactrep_ammunitionusedbypatrol</t>
  </si>
  <si>
    <t>Size of the Poaching Group</t>
  </si>
  <si>
    <t>Who initiated contact</t>
  </si>
  <si>
    <t>What happened? Patrol activity</t>
  </si>
  <si>
    <t>What is the response?</t>
  </si>
  <si>
    <t>Ranger Casualties</t>
  </si>
  <si>
    <t>Opposition Casualties</t>
  </si>
  <si>
    <t>Arrests</t>
  </si>
  <si>
    <t>Seized weapons, equipment, evidence, etc.</t>
  </si>
  <si>
    <t>Ammunition used by patrol</t>
  </si>
  <si>
    <t>ranger
poacher</t>
  </si>
  <si>
    <t>aware
unaware
ambushed
patrolling
incamp
other</t>
  </si>
  <si>
    <t>{"poacher":"Poacher","ranger":"Ranger"}</t>
  </si>
  <si>
    <t>{"ambushed":"Ambushed","aware":"Aware","incamp":"In Camp","other":"Other","patrolling":"Patrolling","unaware":"Unaware"}</t>
  </si>
  <si>
    <t>entry_headed</t>
  </si>
  <si>
    <t>entry_speed</t>
  </si>
  <si>
    <t>Heading at entry (deg)</t>
  </si>
  <si>
    <t>Speed at entry (knots)</t>
  </si>
  <si>
    <t>fencerep_location</t>
  </si>
  <si>
    <t>fencerep_voltage</t>
  </si>
  <si>
    <t>fencerep_damage</t>
  </si>
  <si>
    <t>fencerep_vegetation</t>
  </si>
  <si>
    <t>Section</t>
  </si>
  <si>
    <t>Voltage</t>
  </si>
  <si>
    <t>Damage</t>
  </si>
  <si>
    <t>Vegetation clearing required</t>
  </si>
  <si>
    <t>animalbreakin
animalbreakout
erosion
fencetheft
flooding
human
natural
other</t>
  </si>
  <si>
    <t>yes
no</t>
  </si>
  <si>
    <t>{}</t>
  </si>
  <si>
    <t>{"animalbreakin":"Animal break in","animalbreakout":"Animal break out","erosion":"Erosion","fencetheft":"Fence Theft","flooding":"Flooding","human":"Human","natural":"Natural","other":"Other"}</t>
  </si>
  <si>
    <t>{"no":"No","yes":"Yes"}</t>
  </si>
  <si>
    <t>firerep_status</t>
  </si>
  <si>
    <t>firerep_cause</t>
  </si>
  <si>
    <t>firerep_direction</t>
  </si>
  <si>
    <t>Status</t>
  </si>
  <si>
    <t>Cause</t>
  </si>
  <si>
    <t>Direction Fire is Moving</t>
  </si>
  <si>
    <t>active
inactive</t>
  </si>
  <si>
    <t>accident
arson
controlburn
firebreak
lightning
other</t>
  </si>
  <si>
    <t>north
northeast
east
southeast
south
southwest
west
northwest</t>
  </si>
  <si>
    <t>{"active":"Active","inactive":"Inactive"}</t>
  </si>
  <si>
    <t>{"accident":"Accident","arson":"Arson","controlburn":"Control Burn","firebreak":"Fire Break","lightning":"Lightning","other":"Other"}</t>
  </si>
  <si>
    <t>{"east":"East","north":"North","northeast":"Northeast","northwest":"Northwest","south":"South","southeast":"Southeast","southwest":"Southwest","west":"West"}</t>
  </si>
  <si>
    <t>name</t>
  </si>
  <si>
    <t>total_fix_count</t>
  </si>
  <si>
    <t>subject_heading</t>
  </si>
  <si>
    <t>contain_regions</t>
  </si>
  <si>
    <t>details</t>
  </si>
  <si>
    <t>subject_speed_kmhr</t>
  </si>
  <si>
    <t>geofence_name</t>
  </si>
  <si>
    <t>Name of subject</t>
  </si>
  <si>
    <t>Total Fix Count</t>
  </si>
  <si>
    <t>Subject Heading</t>
  </si>
  <si>
    <t>Current Region</t>
  </si>
  <si>
    <t>Subject Speed</t>
  </si>
  <si>
    <t>Geofence Name</t>
  </si>
  <si>
    <t>subscription_name</t>
  </si>
  <si>
    <t>bright_ti4</t>
  </si>
  <si>
    <t>bright_ti5</t>
  </si>
  <si>
    <t>scan</t>
  </si>
  <si>
    <t>track</t>
  </si>
  <si>
    <t>frp</t>
  </si>
  <si>
    <t>alert_link</t>
  </si>
  <si>
    <t>confidence</t>
  </si>
  <si>
    <t>num_clustered_alerts</t>
  </si>
  <si>
    <t>Name of subscription with Global Forest Watch</t>
  </si>
  <si>
    <t>VIIRS I-4 channel brightness (Kelvin)</t>
  </si>
  <si>
    <t>VIIRS I-5 channel brightness (Kelvin)</t>
  </si>
  <si>
    <t>VIIRS Scan</t>
  </si>
  <si>
    <t>Satellite Track</t>
  </si>
  <si>
    <t>Fire Radiative Power (MW)</t>
  </si>
  <si>
    <t>URL of the map for this alert</t>
  </si>
  <si>
    <t>Confidence level of alert</t>
  </si>
  <si>
    <t>Number of clustered alerts</t>
  </si>
  <si>
    <t>hwcrep_species</t>
  </si>
  <si>
    <t>hwcrep_cropdamaged</t>
  </si>
  <si>
    <t>hwcrep_livestocktypes</t>
  </si>
  <si>
    <t>hwcrep_livestockInjuredKilled</t>
  </si>
  <si>
    <t>hwcrep_humaninjury</t>
  </si>
  <si>
    <t>hwcrep_humandeath</t>
  </si>
  <si>
    <t>hwcrep_propertydamage</t>
  </si>
  <si>
    <t>hwcrep_propertydamagetype</t>
  </si>
  <si>
    <t>Type of Crop Damage</t>
  </si>
  <si>
    <t>Type of livestock injured/killed</t>
  </si>
  <si>
    <t>Number of livestock injured/killed</t>
  </si>
  <si>
    <t>Human Injury</t>
  </si>
  <si>
    <t>Human Death</t>
  </si>
  <si>
    <t>Property Damage</t>
  </si>
  <si>
    <t>baboon
buffalo
elephant
hippo
hyena
lion
leopard
warthog</t>
  </si>
  <si>
    <t>banana
beans
cassava
cotton
maize
mango
peas
potato
rice
sorghum
tobacco
other
none</t>
  </si>
  <si>
    <t>chicken
cow
dog
duck
goat
pig
sheep
other</t>
  </si>
  <si>
    <t>fence
foodstorage
house
otherstructure</t>
  </si>
  <si>
    <t>{"baboon":"Baboon","buffalo":"Buffalo","elephant":"Elephant","hippo":"Hippo","hyena":"Hyena","leopard":"Leopard","lion":"Lion","warthog":"Warthog"}</t>
  </si>
  <si>
    <t>{"banana":"Banana","beans":"Beans","cassava":"Cassava","cotton":"Cotton","maize":"Maize","mango":"Mango","none":"None","other":"Other","peas":"Peas","potato":"Potato","rice":"Rice","sorghum":"Sorghum","tobacco":"Tobacco"}</t>
  </si>
  <si>
    <t>{"chicken":"Chicken","cow":"Cow","dog":"Dog","duck":"Duck","goat":"Goat","other":"Other","pig":"Pig","sheep":"Sheep"}</t>
  </si>
  <si>
    <t>{"fence":"Fence","foodstorage":"Food Storage","house":"House","otherstructure":"Other Structure"}</t>
  </si>
  <si>
    <t>cluster_fix_count</t>
  </si>
  <si>
    <t>cluster_radius</t>
  </si>
  <si>
    <t>probability_value</t>
  </si>
  <si>
    <t>Name of animal</t>
  </si>
  <si>
    <t>Cluster Fix Count</t>
  </si>
  <si>
    <t>Cluster Search Radius</t>
  </si>
  <si>
    <t>Probability</t>
  </si>
  <si>
    <t>conservancy</t>
  </si>
  <si>
    <t>station</t>
  </si>
  <si>
    <t>reportingTime</t>
  </si>
  <si>
    <t>Conservancy (Incident Field)</t>
  </si>
  <si>
    <t>Reporting Station (Incident Field)</t>
  </si>
  <si>
    <t>Reporting Time (Incident Field)</t>
  </si>
  <si>
    <t>injuredanimalrep_keyspecies</t>
  </si>
  <si>
    <t>injuredanimalrep_injurycause</t>
  </si>
  <si>
    <t>injuredanimalrep_injurytype</t>
  </si>
  <si>
    <t>injuredanimalrep_actiontaken</t>
  </si>
  <si>
    <t>Cause of Injury</t>
  </si>
  <si>
    <t>Type of Injury</t>
  </si>
  <si>
    <t>Action Taken</t>
  </si>
  <si>
    <t>elephant
giraffe
leopard
lion
rhino
other</t>
  </si>
  <si>
    <t>natural
human</t>
  </si>
  <si>
    <t>snare
shot
natural
other</t>
  </si>
  <si>
    <t>destroyed
treated
none</t>
  </si>
  <si>
    <t>{"elephant":"Elephant","giraffe":"Giraffe","leopard":"Leopard","lion":"Lion","other":"Other","rhino":"Rhino"}</t>
  </si>
  <si>
    <t>{"human":"Human","natural":"Natural"}</t>
  </si>
  <si>
    <t>{"natural":"Natural","other":"Other","shot":"Shot","snare":"Snare"}</t>
  </si>
  <si>
    <t>{"destroyed":"Destroyed","none":"None","treated":"Treated"}</t>
  </si>
  <si>
    <t>invasivespeciesrep_species</t>
  </si>
  <si>
    <t>invasivespeciesrep_density</t>
  </si>
  <si>
    <t>invasivespeciesrep_phenologicalstate</t>
  </si>
  <si>
    <t>Density</t>
  </si>
  <si>
    <t xml:space="preserve">Phenological State </t>
  </si>
  <si>
    <t>chromoleana
lantana
pistia
opuntia
parthenium
eucalyptus
tithonia
other</t>
  </si>
  <si>
    <t>singleplant
2x2smallstand
5x5mediumstand
10x10largestand</t>
  </si>
  <si>
    <t>vegetative
flowering
seedingfruiting</t>
  </si>
  <si>
    <t>{"chromoleana":"Chromoleana","eucalyptus":"Eucalyptus","lantana":"Lantana","opuntia":"Opuntia","other":"Other","parthenium":"Parthenium","pistia":"Pistia","tithonia":"Tithonia"}</t>
  </si>
  <si>
    <t>{"10x10largestand":"10x10 Large Stand","2x2smallstand":"2x2 Small Stand","5x5mediumstand":"5x5 Medium Stand","singleplant":"Single Plant"}</t>
  </si>
  <si>
    <t>{"flowering":"Flowering","seedingfruiting":"Seeding/Fruiting","vegetative":"Vegetative"}</t>
  </si>
  <si>
    <t>lightrep_whatdetected</t>
  </si>
  <si>
    <t>lightrep_bearing</t>
  </si>
  <si>
    <t>lightrep_distance</t>
  </si>
  <si>
    <t>lightrep_activity</t>
  </si>
  <si>
    <t>lightrep_patrolresponse</t>
  </si>
  <si>
    <t>Description of activity</t>
  </si>
  <si>
    <t>Patrols response/intent</t>
  </si>
  <si>
    <t>bushfire
campfire
smoke
torch
other</t>
  </si>
  <si>
    <t>{"bushfire":"Bush Fire","campfire":"Camp Fire","other":"Other","smoke":"Smoke","torch":"Torch/Light"}</t>
  </si>
  <si>
    <t>low_speed_threshold_percentile</t>
  </si>
  <si>
    <t>low_speed_threshold_value</t>
  </si>
  <si>
    <t>cur_median_speed</t>
  </si>
  <si>
    <t>Low Speed Threshold Percentile</t>
  </si>
  <si>
    <t>Low Speed Threshold Value</t>
  </si>
  <si>
    <t>Current Median Speed</t>
  </si>
  <si>
    <t>low_speed_probability_cutoff</t>
  </si>
  <si>
    <t>low_speed_probability</t>
  </si>
  <si>
    <t>Low Speed Threshold Probability</t>
  </si>
  <si>
    <t>Low Speed Probability Value</t>
  </si>
  <si>
    <t>low_speed_threshold_probability</t>
  </si>
  <si>
    <t>medevacrep_location</t>
  </si>
  <si>
    <t>medevacrep_bestcommunication</t>
  </si>
  <si>
    <t>medevacrep_urgentpatients</t>
  </si>
  <si>
    <t>medevacrep_prioritypatients</t>
  </si>
  <si>
    <t>medevacrep_routinepatients</t>
  </si>
  <si>
    <t>medevacrep_specialequipment</t>
  </si>
  <si>
    <t>medevacrep_ambulatorycasualties</t>
  </si>
  <si>
    <t>medevacrep_stretchercasualties</t>
  </si>
  <si>
    <t>medevacrep_security</t>
  </si>
  <si>
    <t>medevacrep_other</t>
  </si>
  <si>
    <t>Location of Pickup Site</t>
  </si>
  <si>
    <t>Communication method (radio frequency, patrol call sign, sat phone number, etc)</t>
  </si>
  <si>
    <t>Number of Urgent Patients (1 hour/ASAP)</t>
  </si>
  <si>
    <t>Number of Priority Patients (within 6-12 hours)</t>
  </si>
  <si>
    <t>Number of Routine Patients (within 24 hours)</t>
  </si>
  <si>
    <t>Special Equipment Required</t>
  </si>
  <si>
    <t>Number of walking casualties</t>
  </si>
  <si>
    <t>Number of stretcher casualties</t>
  </si>
  <si>
    <t>Security at Pickup Site</t>
  </si>
  <si>
    <t>Other</t>
  </si>
  <si>
    <t>emergencykit
stretcher
other
none</t>
  </si>
  <si>
    <t>areasecured
possibleinterference
opposition</t>
  </si>
  <si>
    <t>{"emergencykit":"Complete Emergency Kit","none":"None","other":"Other requirements","stretcher":"Stretcher and other mobilsation devices"}</t>
  </si>
  <si>
    <t>{"areasecured":"Area secured and safe","opposition":"Opposition in area (armed escort required)","possibleinterference":"Possible interference from public/poachers (approach with caution)"}</t>
  </si>
  <si>
    <t>mistrep_Method</t>
  </si>
  <si>
    <t>mistrep_Injury</t>
  </si>
  <si>
    <t>mistrep_Symptoms</t>
  </si>
  <si>
    <t>mistrep_Treatment</t>
  </si>
  <si>
    <t>M - Method of injury (how did the casualty occur?)</t>
  </si>
  <si>
    <t>I - Injury or Illness details</t>
  </si>
  <si>
    <t>S - Signs and Symptoms</t>
  </si>
  <si>
    <t>T - Treatment given so far</t>
  </si>
  <si>
    <t>poachercamprep_status</t>
  </si>
  <si>
    <t>poachercamprep_numberofpeople</t>
  </si>
  <si>
    <t>poachercamprep_description</t>
  </si>
  <si>
    <t>Status of Camp</t>
  </si>
  <si>
    <t>Estimated Number of People</t>
  </si>
  <si>
    <t>Description of what was detected</t>
  </si>
  <si>
    <t>spatial_feature_name</t>
  </si>
  <si>
    <t>proximity_dist_meters</t>
  </si>
  <si>
    <t>Spatial Feature Name</t>
  </si>
  <si>
    <t>Proximity Distance Meters</t>
  </si>
  <si>
    <t>radiorep_notes</t>
  </si>
  <si>
    <t>Notes</t>
  </si>
  <si>
    <t>rainfallrep_location</t>
  </si>
  <si>
    <t>rainfallrep_rainfall</t>
  </si>
  <si>
    <t>Location</t>
  </si>
  <si>
    <t>Rainfall (mm)</t>
  </si>
  <si>
    <t>rangershotrep_ranger</t>
  </si>
  <si>
    <t>rangershotrep_numberofrounds</t>
  </si>
  <si>
    <t>rangershotrep_typeofrounds</t>
  </si>
  <si>
    <t>rangershotrep_target</t>
  </si>
  <si>
    <t>Name of Ranger</t>
  </si>
  <si>
    <t>Number Of Rounds</t>
  </si>
  <si>
    <t>Type Of Rounds</t>
  </si>
  <si>
    <t>Target</t>
  </si>
  <si>
    <t>shot
rubber
slug</t>
  </si>
  <si>
    <t>game
dog
poacher
hwc</t>
  </si>
  <si>
    <t>{"rubber":"Rubber","shot":"Shot","slug":"Slug"}</t>
  </si>
  <si>
    <t>{"dog":"Dog","game":"Game","hwc":"HWC","poacher":"Poacher"}</t>
  </si>
  <si>
    <t>rhinosightingrep_Rhino</t>
  </si>
  <si>
    <t>rhinosightingrep_earnotchcount</t>
  </si>
  <si>
    <t>rhinosightingrep_condition</t>
  </si>
  <si>
    <t>rhinosightingrep_activity</t>
  </si>
  <si>
    <t>Individual Rhino ID</t>
  </si>
  <si>
    <t>Ear notch count</t>
  </si>
  <si>
    <t>Condition</t>
  </si>
  <si>
    <t>Activity</t>
  </si>
  <si>
    <t>one
two
three
four
five</t>
  </si>
  <si>
    <t>feeding
fighting
mating
moving
resting
scentmarking
standing
other</t>
  </si>
  <si>
    <t>{"five":"5 (Good)","four":"4","one":"1 (Poor)","three":"3","two":"2"}</t>
  </si>
  <si>
    <t>{"feeding":"Feeding","fighting":"Fighting","mating":"Mating","moving":"Moving","other":"Other","resting":"Resting","scentmarking":"Scent Marking","standing":"Standing"}</t>
  </si>
  <si>
    <t>shotrep_timeofshot</t>
  </si>
  <si>
    <t>shotrep_bearing</t>
  </si>
  <si>
    <t>shotrep_distance</t>
  </si>
  <si>
    <t>shotrep_numberofshots</t>
  </si>
  <si>
    <t>shotrep_typeofshots</t>
  </si>
  <si>
    <t>shotrep_estimatedcaliber</t>
  </si>
  <si>
    <t>shotrep_patrolresponse</t>
  </si>
  <si>
    <t>Time when shot was heard</t>
  </si>
  <si>
    <t>Bearing to Shot (0-360)</t>
  </si>
  <si>
    <t>Distance of Shots (m)</t>
  </si>
  <si>
    <t>Number of Shots</t>
  </si>
  <si>
    <t>Rate of Fire</t>
  </si>
  <si>
    <t>Estimated Caliber</t>
  </si>
  <si>
    <t>singleshot
semiautomaticshot
automaticshot</t>
  </si>
  <si>
    <t>smallcalibershot
shotgunshot
largecalibershot</t>
  </si>
  <si>
    <t>{"automaticshot":"Automatic","semiautomaticshot":"Semi-automatic","singleshot":"Single"}</t>
  </si>
  <si>
    <t>{"largecalibershot":"Large Caliber","shotgunshot":"Shot gun/muzzle loader","smallcalibershot":"Small Caliber"}</t>
  </si>
  <si>
    <t>report_time</t>
  </si>
  <si>
    <t>silence_threshold</t>
  </si>
  <si>
    <t>last_device_reported_at</t>
  </si>
  <si>
    <t>Report Time</t>
  </si>
  <si>
    <t>Silence threshold(hh:mm)</t>
  </si>
  <si>
    <t>Last device reported at</t>
  </si>
  <si>
    <t>location</t>
  </si>
  <si>
    <t>device_id</t>
  </si>
  <si>
    <t>name_assigned_subject</t>
  </si>
  <si>
    <t>source_provider</t>
  </si>
  <si>
    <t>latest_position_recorded_at</t>
  </si>
  <si>
    <t>Device ID</t>
  </si>
  <si>
    <t>Name of assigned subject</t>
  </si>
  <si>
    <t>Source Provider</t>
  </si>
  <si>
    <t>Silence Threshold</t>
  </si>
  <si>
    <t>Latest position recorded at</t>
  </si>
  <si>
    <t>sitrep_currentactivity</t>
  </si>
  <si>
    <t>sitrep_futureactivity</t>
  </si>
  <si>
    <t>sitrep_other</t>
  </si>
  <si>
    <t>Update of current activity</t>
  </si>
  <si>
    <t>Planned Future Activity</t>
  </si>
  <si>
    <t>snarerep_numberofsnares</t>
  </si>
  <si>
    <t>snarerep_status</t>
  </si>
  <si>
    <t>snarerep_action</t>
  </si>
  <si>
    <t>snarerep_comments</t>
  </si>
  <si>
    <t>Number of Snares Found</t>
  </si>
  <si>
    <t>Planned Action</t>
  </si>
  <si>
    <t>Comments</t>
  </si>
  <si>
    <t>set
unset</t>
  </si>
  <si>
    <t>remove
ambushed</t>
  </si>
  <si>
    <t>{"set":"Set","unset":"Unset"}</t>
  </si>
  <si>
    <t>{"ambushed":"Ambushed","remove":"Remove"}</t>
  </si>
  <si>
    <t>spoorrep_type</t>
  </si>
  <si>
    <t>spoorrep_numberpeopletracked</t>
  </si>
  <si>
    <t>spoorrep_bearing</t>
  </si>
  <si>
    <t>spoorrep_age</t>
  </si>
  <si>
    <t>spoorrep_comments</t>
  </si>
  <si>
    <t>Type of spoor</t>
  </si>
  <si>
    <t>Estimated number of people being tracked</t>
  </si>
  <si>
    <t>Bearing Spoor is going (0-360)</t>
  </si>
  <si>
    <t>Age of the spoor</t>
  </si>
  <si>
    <t>Comments/other information</t>
  </si>
  <si>
    <t>footprint
motorbike
vehilce</t>
  </si>
  <si>
    <t>new
old</t>
  </si>
  <si>
    <t>{"footprint":"Footprint","motorbike":"Motorbike","vehilce":"Vehicle"}</t>
  </si>
  <si>
    <t>{"new":"New/Fresh","old":"Old"}</t>
  </si>
  <si>
    <t>subject_1_name</t>
  </si>
  <si>
    <t>subject_1_speed_kmhr</t>
  </si>
  <si>
    <t>subject_1_heading</t>
  </si>
  <si>
    <t>subject_1_location</t>
  </si>
  <si>
    <t>subject_2_name</t>
  </si>
  <si>
    <t>subject_2_speed_kmhr</t>
  </si>
  <si>
    <t>subject_2_heading</t>
  </si>
  <si>
    <t>subject_2_location</t>
  </si>
  <si>
    <t>Subject 1 Name</t>
  </si>
  <si>
    <t>Subject 1 Speed Kmhr</t>
  </si>
  <si>
    <t>Subject 1 Heading</t>
  </si>
  <si>
    <t>Subject 1 location</t>
  </si>
  <si>
    <t>Subject 2 Name</t>
  </si>
  <si>
    <t>Subject 2 Speed Kmhr</t>
  </si>
  <si>
    <t>Subject 2 Heading</t>
  </si>
  <si>
    <t>Subject 2 location</t>
  </si>
  <si>
    <t>Proximity Dist Meters</t>
  </si>
  <si>
    <t>trafficrep_sightingdescription</t>
  </si>
  <si>
    <t>trafficrep_bearing</t>
  </si>
  <si>
    <t>trafficrep_distance</t>
  </si>
  <si>
    <t>trafficrep_sightingactivity</t>
  </si>
  <si>
    <t>trafficrep_vehicleregistration</t>
  </si>
  <si>
    <t>trafficrep_vehiclemakemodel</t>
  </si>
  <si>
    <t>trafficrep_currentpatrolactivity</t>
  </si>
  <si>
    <t>Activity of vehicle</t>
  </si>
  <si>
    <t>Vehicle Registration Number</t>
  </si>
  <si>
    <t>Vehicle Make and Model</t>
  </si>
  <si>
    <t>aircraft
bicycles
boats
car
motorbike
truck
other</t>
  </si>
  <si>
    <t>speeding
drivingoffroad
brokendown
other</t>
  </si>
  <si>
    <t>{"aircraft":"Aircraft","bicycles":"Bicycles","boats":"Boats","car":"Car","motorbike":"Motorbike","other":"Other","truck":"Truck"}</t>
  </si>
  <si>
    <t>{"brokendown":"Broken Down","drivingoffroad":"Driving Off Road","other":"Other","speeding":"Speeding"}</t>
  </si>
  <si>
    <t>wildlifesightingrep_species</t>
  </si>
  <si>
    <t>wildlifesightingrep_numberanimals</t>
  </si>
  <si>
    <t>wildlifesightingrep_collared</t>
  </si>
  <si>
    <t>Count</t>
  </si>
  <si>
    <t>Are Animals Collared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</si>
</sst>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talyse.pamdas.org/static/fire-black.svg" TargetMode="External"/><Relationship Id="rId21" Type="http://schemas.openxmlformats.org/officeDocument/2006/relationships/hyperlink" Target="https://catalyse.pamdas.org/api/v1.0/activity/events/schema/eventtype/entry_alert_rep" TargetMode="External"/><Relationship Id="rId42" Type="http://schemas.openxmlformats.org/officeDocument/2006/relationships/hyperlink" Target="https://catalyse.pamdas.org/static/injured_animal-black.svg" TargetMode="External"/><Relationship Id="rId47" Type="http://schemas.openxmlformats.org/officeDocument/2006/relationships/hyperlink" Target="https://catalyse.pamdas.org/api/v1.0/activity/events/schema/eventtype/low_speed_percentile" TargetMode="External"/><Relationship Id="rId63" Type="http://schemas.openxmlformats.org/officeDocument/2006/relationships/hyperlink" Target="https://catalyse.pamdas.org/api/v1.0/activity/events/schema/eventtype/rainfall_rep" TargetMode="External"/><Relationship Id="rId68" Type="http://schemas.openxmlformats.org/officeDocument/2006/relationships/hyperlink" Target="https://catalyse.pamdas.org/static/rhino_sighting-black.svg" TargetMode="External"/><Relationship Id="rId84" Type="http://schemas.openxmlformats.org/officeDocument/2006/relationships/hyperlink" Target="https://catalyse.pamdas.org/static/traffic_rep-black.svg" TargetMode="External"/><Relationship Id="rId16" Type="http://schemas.openxmlformats.org/officeDocument/2006/relationships/hyperlink" Target="https://catalyse.pamdas.org/static/carcass-black.svg" TargetMode="External"/><Relationship Id="rId11" Type="http://schemas.openxmlformats.org/officeDocument/2006/relationships/hyperlink" Target="https://catalyse.pamdas.org/api/v1.0/activity/events/schema/eventtype/arrest_rep" TargetMode="External"/><Relationship Id="rId32" Type="http://schemas.openxmlformats.org/officeDocument/2006/relationships/hyperlink" Target="https://catalyse.pamdas.org/static/sprite-src/deforestation_rep.svg" TargetMode="External"/><Relationship Id="rId37" Type="http://schemas.openxmlformats.org/officeDocument/2006/relationships/hyperlink" Target="https://catalyse.pamdas.org/api/v1.0/activity/events/schema/eventtype/immobility_all_clear" TargetMode="External"/><Relationship Id="rId53" Type="http://schemas.openxmlformats.org/officeDocument/2006/relationships/hyperlink" Target="https://catalyse.pamdas.org/api/v1.0/activity/events/schema/eventtype/medevac_rep" TargetMode="External"/><Relationship Id="rId58" Type="http://schemas.openxmlformats.org/officeDocument/2006/relationships/hyperlink" Target="https://catalyse.pamdas.org/static/poacher_camp-black.svg" TargetMode="External"/><Relationship Id="rId74" Type="http://schemas.openxmlformats.org/officeDocument/2006/relationships/hyperlink" Target="https://catalyse.pamdas.org/static/sprite-src/silence_source_rep.svg" TargetMode="External"/><Relationship Id="rId79" Type="http://schemas.openxmlformats.org/officeDocument/2006/relationships/hyperlink" Target="https://catalyse.pamdas.org/api/v1.0/activity/events/schema/eventtype/spoor_rep" TargetMode="External"/><Relationship Id="rId5" Type="http://schemas.openxmlformats.org/officeDocument/2006/relationships/hyperlink" Target="https://catalyse.pamdas.org/api/v1.0/activity/events/schema/eventtype/activity_rep" TargetMode="External"/><Relationship Id="rId19" Type="http://schemas.openxmlformats.org/officeDocument/2006/relationships/hyperlink" Target="https://catalyse.pamdas.org/api/v1.0/activity/events/schema/eventtype/contact_rep" TargetMode="External"/><Relationship Id="rId14" Type="http://schemas.openxmlformats.org/officeDocument/2006/relationships/hyperlink" Target="https://catalyse.pamdas.org/static/cameratrap-black.svg" TargetMode="External"/><Relationship Id="rId22" Type="http://schemas.openxmlformats.org/officeDocument/2006/relationships/hyperlink" Target="https://catalyse.pamdas.org/static/sprite-src/entry_alert_rep.svg" TargetMode="External"/><Relationship Id="rId27" Type="http://schemas.openxmlformats.org/officeDocument/2006/relationships/hyperlink" Target="https://catalyse.pamdas.org/api/v1.0/activity/events/schema/eventtype/geofence_break" TargetMode="External"/><Relationship Id="rId30" Type="http://schemas.openxmlformats.org/officeDocument/2006/relationships/hyperlink" Target="https://catalyse.pamdas.org/static/fire-black.svg" TargetMode="External"/><Relationship Id="rId35" Type="http://schemas.openxmlformats.org/officeDocument/2006/relationships/hyperlink" Target="https://catalyse.pamdas.org/api/v1.0/activity/events/schema/eventtype/immobility" TargetMode="External"/><Relationship Id="rId43" Type="http://schemas.openxmlformats.org/officeDocument/2006/relationships/hyperlink" Target="https://catalyse.pamdas.org/api/v1.0/activity/events/schema/eventtype/invasive_species_rep" TargetMode="External"/><Relationship Id="rId48" Type="http://schemas.openxmlformats.org/officeDocument/2006/relationships/hyperlink" Target="https://catalyse.pamdas.org/static/low_speed_percentile-black.svg" TargetMode="External"/><Relationship Id="rId56" Type="http://schemas.openxmlformats.org/officeDocument/2006/relationships/hyperlink" Target="https://catalyse.pamdas.org/static/mist-black.svg" TargetMode="External"/><Relationship Id="rId64" Type="http://schemas.openxmlformats.org/officeDocument/2006/relationships/hyperlink" Target="https://catalyse.pamdas.org/static/sprite-src/rainfall_rep.svg" TargetMode="External"/><Relationship Id="rId69" Type="http://schemas.openxmlformats.org/officeDocument/2006/relationships/hyperlink" Target="https://catalyse.pamdas.org/api/v1.0/activity/events/schema/eventtype/shot_rep" TargetMode="External"/><Relationship Id="rId77" Type="http://schemas.openxmlformats.org/officeDocument/2006/relationships/hyperlink" Target="https://catalyse.pamdas.org/api/v1.0/activity/events/schema/eventtype/snare_rep" TargetMode="External"/><Relationship Id="rId8" Type="http://schemas.openxmlformats.org/officeDocument/2006/relationships/hyperlink" Target="https://catalyse.pamdas.org/static/all_posts-black.svg" TargetMode="External"/><Relationship Id="rId51" Type="http://schemas.openxmlformats.org/officeDocument/2006/relationships/hyperlink" Target="https://catalyse.pamdas.org/api/v1.0/activity/events/schema/eventtype/low_speed_wilcoxon_all_clear" TargetMode="External"/><Relationship Id="rId72" Type="http://schemas.openxmlformats.org/officeDocument/2006/relationships/hyperlink" Target="https://catalyse.pamdas.org/static/sprite-src/silence_source_provider_rep.svg" TargetMode="External"/><Relationship Id="rId80" Type="http://schemas.openxmlformats.org/officeDocument/2006/relationships/hyperlink" Target="https://catalyse.pamdas.org/static/spoor-black.svg" TargetMode="External"/><Relationship Id="rId85" Type="http://schemas.openxmlformats.org/officeDocument/2006/relationships/hyperlink" Target="https://catalyse.pamdas.org/api/v1.0/activity/events/schema/eventtype/wildlife_sighting_rep" TargetMode="External"/><Relationship Id="rId3" Type="http://schemas.openxmlformats.org/officeDocument/2006/relationships/hyperlink" Target="https://catalyse.pamdas.org/api/v1.0/activity/events/schema/eventtype/acoustic_detection" TargetMode="External"/><Relationship Id="rId12" Type="http://schemas.openxmlformats.org/officeDocument/2006/relationships/hyperlink" Target="https://catalyse.pamdas.org/static/arrest-black.svg" TargetMode="External"/><Relationship Id="rId17" Type="http://schemas.openxmlformats.org/officeDocument/2006/relationships/hyperlink" Target="https://catalyse.pamdas.org/api/v1.0/activity/events/schema/eventtype/confiscation_rep" TargetMode="External"/><Relationship Id="rId25" Type="http://schemas.openxmlformats.org/officeDocument/2006/relationships/hyperlink" Target="https://catalyse.pamdas.org/api/v1.0/activity/events/schema/eventtype/fire_rep" TargetMode="External"/><Relationship Id="rId33" Type="http://schemas.openxmlformats.org/officeDocument/2006/relationships/hyperlink" Target="https://catalyse.pamdas.org/api/v1.0/activity/events/schema/eventtype/hwc_rep" TargetMode="External"/><Relationship Id="rId38" Type="http://schemas.openxmlformats.org/officeDocument/2006/relationships/hyperlink" Target="https://catalyse.pamdas.org/static/immobility_all_clear-black.svg" TargetMode="External"/><Relationship Id="rId46" Type="http://schemas.openxmlformats.org/officeDocument/2006/relationships/hyperlink" Target="https://catalyse.pamdas.org/static/sprite-src/light_rep.svg" TargetMode="External"/><Relationship Id="rId59" Type="http://schemas.openxmlformats.org/officeDocument/2006/relationships/hyperlink" Target="https://catalyse.pamdas.org/api/v1.0/activity/events/schema/eventtype/proximity" TargetMode="External"/><Relationship Id="rId67" Type="http://schemas.openxmlformats.org/officeDocument/2006/relationships/hyperlink" Target="https://catalyse.pamdas.org/api/v1.0/activity/events/schema/eventtype/rhino_sighting_rep" TargetMode="External"/><Relationship Id="rId20" Type="http://schemas.openxmlformats.org/officeDocument/2006/relationships/hyperlink" Target="https://catalyse.pamdas.org/static/contact-black.svg" TargetMode="External"/><Relationship Id="rId41" Type="http://schemas.openxmlformats.org/officeDocument/2006/relationships/hyperlink" Target="https://catalyse.pamdas.org/api/v1.0/activity/events/schema/eventtype/injured_animal_rep" TargetMode="External"/><Relationship Id="rId54" Type="http://schemas.openxmlformats.org/officeDocument/2006/relationships/hyperlink" Target="https://catalyse.pamdas.org/static/medevac_rep-black.svg" TargetMode="External"/><Relationship Id="rId62" Type="http://schemas.openxmlformats.org/officeDocument/2006/relationships/hyperlink" Target="https://catalyse.pamdas.org/static/radio-black.svg" TargetMode="External"/><Relationship Id="rId70" Type="http://schemas.openxmlformats.org/officeDocument/2006/relationships/hyperlink" Target="https://catalyse.pamdas.org/static/shot_rep-black.svg" TargetMode="External"/><Relationship Id="rId75" Type="http://schemas.openxmlformats.org/officeDocument/2006/relationships/hyperlink" Target="https://catalyse.pamdas.org/api/v1.0/activity/events/schema/eventtype/sit_rep" TargetMode="External"/><Relationship Id="rId83" Type="http://schemas.openxmlformats.org/officeDocument/2006/relationships/hyperlink" Target="https://catalyse.pamdas.org/api/v1.0/activity/events/schema/eventtype/traffic_rep" TargetMode="External"/><Relationship Id="rId1" Type="http://schemas.openxmlformats.org/officeDocument/2006/relationships/hyperlink" Target="https://catalyse.pamdas.org/api/v1.0/activity/events/schema/eventtype/accident_rep" TargetMode="External"/><Relationship Id="rId6" Type="http://schemas.openxmlformats.org/officeDocument/2006/relationships/hyperlink" Target="https://catalyse.pamdas.org/static/sprite-src/activity_rep.svg" TargetMode="External"/><Relationship Id="rId15" Type="http://schemas.openxmlformats.org/officeDocument/2006/relationships/hyperlink" Target="https://catalyse.pamdas.org/api/v1.0/activity/events/schema/eventtype/carcass_rep" TargetMode="External"/><Relationship Id="rId23" Type="http://schemas.openxmlformats.org/officeDocument/2006/relationships/hyperlink" Target="https://catalyse.pamdas.org/api/v1.0/activity/events/schema/eventtype/fence_rep" TargetMode="External"/><Relationship Id="rId28" Type="http://schemas.openxmlformats.org/officeDocument/2006/relationships/hyperlink" Target="https://catalyse.pamdas.org/static/geofence_break-black.svg" TargetMode="External"/><Relationship Id="rId36" Type="http://schemas.openxmlformats.org/officeDocument/2006/relationships/hyperlink" Target="https://catalyse.pamdas.org/static/immobility-black.svg" TargetMode="External"/><Relationship Id="rId49" Type="http://schemas.openxmlformats.org/officeDocument/2006/relationships/hyperlink" Target="https://catalyse.pamdas.org/api/v1.0/activity/events/schema/eventtype/low_speed_wilcoxon" TargetMode="External"/><Relationship Id="rId57" Type="http://schemas.openxmlformats.org/officeDocument/2006/relationships/hyperlink" Target="https://catalyse.pamdas.org/api/v1.0/activity/events/schema/eventtype/poacher_camp_rep" TargetMode="External"/><Relationship Id="rId10" Type="http://schemas.openxmlformats.org/officeDocument/2006/relationships/hyperlink" Target="https://catalyse.pamdas.org/static/animal_control-black.svg" TargetMode="External"/><Relationship Id="rId31" Type="http://schemas.openxmlformats.org/officeDocument/2006/relationships/hyperlink" Target="https://catalyse.pamdas.org/api/v1.0/activity/events/schema/eventtype/gfw_glad_alert" TargetMode="External"/><Relationship Id="rId44" Type="http://schemas.openxmlformats.org/officeDocument/2006/relationships/hyperlink" Target="https://catalyse.pamdas.org/static/invasive_species-black.svg" TargetMode="External"/><Relationship Id="rId52" Type="http://schemas.openxmlformats.org/officeDocument/2006/relationships/hyperlink" Target="https://catalyse.pamdas.org/static/generic-black.svg" TargetMode="External"/><Relationship Id="rId60" Type="http://schemas.openxmlformats.org/officeDocument/2006/relationships/hyperlink" Target="https://catalyse.pamdas.org/static/sprite-src/proximity.svg" TargetMode="External"/><Relationship Id="rId65" Type="http://schemas.openxmlformats.org/officeDocument/2006/relationships/hyperlink" Target="https://catalyse.pamdas.org/api/v1.0/activity/events/schema/eventtype/ranger_shot_rep" TargetMode="External"/><Relationship Id="rId73" Type="http://schemas.openxmlformats.org/officeDocument/2006/relationships/hyperlink" Target="https://catalyse.pamdas.org/api/v1.0/activity/events/schema/eventtype/silence_source_rep" TargetMode="External"/><Relationship Id="rId78" Type="http://schemas.openxmlformats.org/officeDocument/2006/relationships/hyperlink" Target="https://catalyse.pamdas.org/static/snare-black.svg" TargetMode="External"/><Relationship Id="rId81" Type="http://schemas.openxmlformats.org/officeDocument/2006/relationships/hyperlink" Target="https://catalyse.pamdas.org/api/v1.0/activity/events/schema/eventtype/subject_proximity" TargetMode="External"/><Relationship Id="rId86" Type="http://schemas.openxmlformats.org/officeDocument/2006/relationships/hyperlink" Target="https://catalyse.pamdas.org/static/wildlife_sighting-black.svg" TargetMode="External"/><Relationship Id="rId4" Type="http://schemas.openxmlformats.org/officeDocument/2006/relationships/hyperlink" Target="https://catalyse.pamdas.org/static/sprite-src/radar_rep.svg" TargetMode="External"/><Relationship Id="rId9" Type="http://schemas.openxmlformats.org/officeDocument/2006/relationships/hyperlink" Target="https://catalyse.pamdas.org/api/v1.0/activity/events/schema/eventtype/animal_control_rep" TargetMode="External"/><Relationship Id="rId13" Type="http://schemas.openxmlformats.org/officeDocument/2006/relationships/hyperlink" Target="https://catalyse.pamdas.org/api/v1.0/activity/events/schema/eventtype/cameratrap_rep" TargetMode="External"/><Relationship Id="rId18" Type="http://schemas.openxmlformats.org/officeDocument/2006/relationships/hyperlink" Target="https://catalyse.pamdas.org/static/sprite-src/confiscation_rep.svg" TargetMode="External"/><Relationship Id="rId39" Type="http://schemas.openxmlformats.org/officeDocument/2006/relationships/hyperlink" Target="https://catalyse.pamdas.org/api/v1.0/activity/events/schema/eventtype/incident_collection" TargetMode="External"/><Relationship Id="rId34" Type="http://schemas.openxmlformats.org/officeDocument/2006/relationships/hyperlink" Target="https://catalyse.pamdas.org/static/hwc_rep-black.svg" TargetMode="External"/><Relationship Id="rId50" Type="http://schemas.openxmlformats.org/officeDocument/2006/relationships/hyperlink" Target="https://catalyse.pamdas.org/static/low_speed_wilcoxon-black.svg" TargetMode="External"/><Relationship Id="rId55" Type="http://schemas.openxmlformats.org/officeDocument/2006/relationships/hyperlink" Target="https://catalyse.pamdas.org/api/v1.0/activity/events/schema/eventtype/mist_rep" TargetMode="External"/><Relationship Id="rId76" Type="http://schemas.openxmlformats.org/officeDocument/2006/relationships/hyperlink" Target="https://catalyse.pamdas.org/static/sit_rep-black.svg" TargetMode="External"/><Relationship Id="rId7" Type="http://schemas.openxmlformats.org/officeDocument/2006/relationships/hyperlink" Target="https://catalyse.pamdas.org/api/v1.0/activity/events/schema/eventtype/all_posts" TargetMode="External"/><Relationship Id="rId71" Type="http://schemas.openxmlformats.org/officeDocument/2006/relationships/hyperlink" Target="https://catalyse.pamdas.org/api/v1.0/activity/events/schema/eventtype/silence_source_provider_rep" TargetMode="External"/><Relationship Id="rId2" Type="http://schemas.openxmlformats.org/officeDocument/2006/relationships/hyperlink" Target="https://catalyse.pamdas.org/static/accident-black.svg" TargetMode="External"/><Relationship Id="rId29" Type="http://schemas.openxmlformats.org/officeDocument/2006/relationships/hyperlink" Target="https://catalyse.pamdas.org/api/v1.0/activity/events/schema/eventtype/gfw_activefire_alert" TargetMode="External"/><Relationship Id="rId24" Type="http://schemas.openxmlformats.org/officeDocument/2006/relationships/hyperlink" Target="https://catalyse.pamdas.org/static/sprite-src/fence_rep.svg" TargetMode="External"/><Relationship Id="rId40" Type="http://schemas.openxmlformats.org/officeDocument/2006/relationships/hyperlink" Target="https://catalyse.pamdas.org/static/incident_collection-black.svg" TargetMode="External"/><Relationship Id="rId45" Type="http://schemas.openxmlformats.org/officeDocument/2006/relationships/hyperlink" Target="https://catalyse.pamdas.org/api/v1.0/activity/events/schema/eventtype/light_rep" TargetMode="External"/><Relationship Id="rId66" Type="http://schemas.openxmlformats.org/officeDocument/2006/relationships/hyperlink" Target="https://catalyse.pamdas.org/static/ranger_shot_rep-black.svg" TargetMode="External"/><Relationship Id="rId61" Type="http://schemas.openxmlformats.org/officeDocument/2006/relationships/hyperlink" Target="https://catalyse.pamdas.org/api/v1.0/activity/events/schema/eventtype/radio_rep" TargetMode="External"/><Relationship Id="rId82" Type="http://schemas.openxmlformats.org/officeDocument/2006/relationships/hyperlink" Target="https://catalyse.pamdas.org/static/sprite-src/subject_proximity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P1" sqref="P1"/>
    </sheetView>
  </sheetViews>
  <sheetFormatPr defaultRowHeight="14.5" x14ac:dyDescent="0.35"/>
  <cols>
    <col min="1" max="1" width="20.7265625" customWidth="1"/>
    <col min="2" max="2" width="36.7265625" style="1" customWidth="1"/>
    <col min="3" max="3" width="12.7265625" customWidth="1"/>
    <col min="4" max="4" width="48.7265625" style="1" customWidth="1"/>
    <col min="5" max="5" width="22.7265625" customWidth="1"/>
    <col min="6" max="6" width="48.7265625" style="1" customWidth="1"/>
    <col min="7" max="8" width="10.7265625" customWidth="1"/>
    <col min="9" max="9" width="28.7265625" customWidth="1"/>
    <col min="10" max="10" width="24.7265625" customWidth="1"/>
    <col min="11" max="11" width="38.7265625" customWidth="1"/>
    <col min="12" max="12" width="14.7265625" customWidth="1"/>
    <col min="13" max="13" width="22.7265625" customWidth="1"/>
    <col min="14" max="14" width="16.7265625" customWidth="1"/>
    <col min="15" max="15" width="10.7265625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s="1" t="s">
        <v>58</v>
      </c>
      <c r="C2" t="s">
        <v>98</v>
      </c>
      <c r="D2" s="3" t="s">
        <v>99</v>
      </c>
      <c r="E2" t="s">
        <v>15</v>
      </c>
      <c r="F2" s="3" t="s">
        <v>144</v>
      </c>
      <c r="G2">
        <v>3</v>
      </c>
      <c r="H2">
        <v>0</v>
      </c>
      <c r="I2" t="s">
        <v>186</v>
      </c>
      <c r="J2" t="s">
        <v>227</v>
      </c>
      <c r="K2" t="s">
        <v>232</v>
      </c>
      <c r="L2" t="b">
        <v>1</v>
      </c>
      <c r="N2" t="s">
        <v>15</v>
      </c>
      <c r="O2" t="str">
        <f>HYPERLINK("#'accident_rep'!A1","Open")</f>
        <v>Open</v>
      </c>
    </row>
    <row r="3" spans="1:15" x14ac:dyDescent="0.35">
      <c r="A3" t="s">
        <v>16</v>
      </c>
      <c r="B3" s="1" t="s">
        <v>59</v>
      </c>
      <c r="C3" t="s">
        <v>98</v>
      </c>
      <c r="D3" s="3" t="s">
        <v>100</v>
      </c>
      <c r="E3" t="s">
        <v>142</v>
      </c>
      <c r="F3" s="3" t="s">
        <v>145</v>
      </c>
      <c r="G3">
        <v>3</v>
      </c>
      <c r="H3">
        <v>0</v>
      </c>
      <c r="I3" t="s">
        <v>187</v>
      </c>
      <c r="J3" t="s">
        <v>228</v>
      </c>
      <c r="K3" t="s">
        <v>233</v>
      </c>
      <c r="L3" t="b">
        <v>1</v>
      </c>
      <c r="N3" t="s">
        <v>16</v>
      </c>
      <c r="O3" t="str">
        <f>HYPERLINK("#'acoustic_detection'!A1","Open")</f>
        <v>Open</v>
      </c>
    </row>
    <row r="4" spans="1:15" x14ac:dyDescent="0.35">
      <c r="A4" t="s">
        <v>17</v>
      </c>
      <c r="B4" s="1" t="s">
        <v>60</v>
      </c>
      <c r="C4" t="s">
        <v>98</v>
      </c>
      <c r="D4" s="3" t="s">
        <v>101</v>
      </c>
      <c r="E4" t="s">
        <v>17</v>
      </c>
      <c r="F4" s="3" t="s">
        <v>146</v>
      </c>
      <c r="G4">
        <v>4</v>
      </c>
      <c r="H4">
        <v>0</v>
      </c>
      <c r="I4" t="s">
        <v>188</v>
      </c>
      <c r="J4" t="s">
        <v>227</v>
      </c>
      <c r="K4" t="s">
        <v>232</v>
      </c>
      <c r="L4" t="b">
        <v>1</v>
      </c>
      <c r="N4" t="s">
        <v>17</v>
      </c>
      <c r="O4" t="str">
        <f>HYPERLINK("#'activity_rep'!A1","Open")</f>
        <v>Open</v>
      </c>
    </row>
    <row r="5" spans="1:15" x14ac:dyDescent="0.35">
      <c r="A5" t="s">
        <v>18</v>
      </c>
      <c r="B5" s="1" t="s">
        <v>61</v>
      </c>
      <c r="C5" t="s">
        <v>98</v>
      </c>
      <c r="D5" s="3" t="s">
        <v>102</v>
      </c>
      <c r="E5" t="s">
        <v>18</v>
      </c>
      <c r="F5" s="3" t="s">
        <v>147</v>
      </c>
      <c r="G5">
        <v>6</v>
      </c>
      <c r="H5">
        <v>1</v>
      </c>
      <c r="I5" t="s">
        <v>189</v>
      </c>
      <c r="J5" t="s">
        <v>229</v>
      </c>
      <c r="K5" t="s">
        <v>234</v>
      </c>
      <c r="L5" t="b">
        <v>1</v>
      </c>
      <c r="N5" t="s">
        <v>18</v>
      </c>
      <c r="O5" t="str">
        <f>HYPERLINK("#'all_posts'!A1","Open")</f>
        <v>Open</v>
      </c>
    </row>
    <row r="6" spans="1:15" ht="29" x14ac:dyDescent="0.35">
      <c r="A6" t="s">
        <v>19</v>
      </c>
      <c r="B6" s="1" t="s">
        <v>62</v>
      </c>
      <c r="C6" t="s">
        <v>98</v>
      </c>
      <c r="D6" s="3" t="s">
        <v>103</v>
      </c>
      <c r="E6" t="s">
        <v>19</v>
      </c>
      <c r="F6" s="3" t="s">
        <v>148</v>
      </c>
      <c r="G6">
        <v>4</v>
      </c>
      <c r="H6">
        <v>1</v>
      </c>
      <c r="I6" t="s">
        <v>190</v>
      </c>
      <c r="J6" t="s">
        <v>227</v>
      </c>
      <c r="K6" t="s">
        <v>232</v>
      </c>
      <c r="L6" t="b">
        <v>1</v>
      </c>
      <c r="N6" t="s">
        <v>19</v>
      </c>
      <c r="O6" t="str">
        <f>HYPERLINK("#'animal_control_rep'!A1","Open")</f>
        <v>Open</v>
      </c>
    </row>
    <row r="7" spans="1:15" x14ac:dyDescent="0.35">
      <c r="A7" t="s">
        <v>20</v>
      </c>
      <c r="B7" s="1" t="s">
        <v>63</v>
      </c>
      <c r="C7" t="s">
        <v>98</v>
      </c>
      <c r="D7" s="3" t="s">
        <v>104</v>
      </c>
      <c r="E7" t="s">
        <v>20</v>
      </c>
      <c r="F7" s="3" t="s">
        <v>149</v>
      </c>
      <c r="G7">
        <v>10</v>
      </c>
      <c r="H7">
        <v>2</v>
      </c>
      <c r="I7" t="s">
        <v>191</v>
      </c>
      <c r="J7" t="s">
        <v>227</v>
      </c>
      <c r="K7" t="s">
        <v>232</v>
      </c>
      <c r="L7" t="b">
        <v>1</v>
      </c>
      <c r="N7" t="s">
        <v>20</v>
      </c>
      <c r="O7" t="str">
        <f>HYPERLINK("#'arrest_rep'!A1","Open")</f>
        <v>Open</v>
      </c>
    </row>
    <row r="8" spans="1:15" x14ac:dyDescent="0.35">
      <c r="A8" t="s">
        <v>21</v>
      </c>
      <c r="B8" s="1" t="s">
        <v>64</v>
      </c>
      <c r="C8" t="s">
        <v>98</v>
      </c>
      <c r="D8" s="3" t="s">
        <v>105</v>
      </c>
      <c r="E8" t="s">
        <v>21</v>
      </c>
      <c r="F8" s="3" t="s">
        <v>150</v>
      </c>
      <c r="G8">
        <v>3</v>
      </c>
      <c r="H8">
        <v>0</v>
      </c>
      <c r="I8" t="s">
        <v>192</v>
      </c>
      <c r="J8" t="s">
        <v>227</v>
      </c>
      <c r="K8" t="s">
        <v>232</v>
      </c>
      <c r="L8" t="b">
        <v>1</v>
      </c>
      <c r="N8" t="s">
        <v>21</v>
      </c>
      <c r="O8" t="str">
        <f>HYPERLINK("#'cameratrap_rep'!A1","Open")</f>
        <v>Open</v>
      </c>
    </row>
    <row r="9" spans="1:15" x14ac:dyDescent="0.35">
      <c r="A9" t="s">
        <v>22</v>
      </c>
      <c r="B9" s="1" t="s">
        <v>65</v>
      </c>
      <c r="C9" t="s">
        <v>98</v>
      </c>
      <c r="D9" s="3" t="s">
        <v>106</v>
      </c>
      <c r="E9" t="s">
        <v>22</v>
      </c>
      <c r="F9" s="3" t="s">
        <v>151</v>
      </c>
      <c r="G9">
        <v>6</v>
      </c>
      <c r="H9">
        <v>6</v>
      </c>
      <c r="I9" t="s">
        <v>193</v>
      </c>
      <c r="J9" t="s">
        <v>227</v>
      </c>
      <c r="K9" t="s">
        <v>232</v>
      </c>
      <c r="L9" t="b">
        <v>1</v>
      </c>
      <c r="N9" t="s">
        <v>22</v>
      </c>
      <c r="O9" t="str">
        <f>HYPERLINK("#'carcass_rep'!A1","Open")</f>
        <v>Open</v>
      </c>
    </row>
    <row r="10" spans="1:15" x14ac:dyDescent="0.35">
      <c r="A10" t="s">
        <v>23</v>
      </c>
      <c r="B10" s="1" t="s">
        <v>66</v>
      </c>
      <c r="C10" t="s">
        <v>98</v>
      </c>
      <c r="D10" s="3" t="s">
        <v>107</v>
      </c>
      <c r="E10" t="s">
        <v>23</v>
      </c>
      <c r="F10" s="3" t="s">
        <v>152</v>
      </c>
      <c r="G10">
        <v>4</v>
      </c>
      <c r="H10">
        <v>1</v>
      </c>
      <c r="I10" t="s">
        <v>194</v>
      </c>
      <c r="J10" t="s">
        <v>227</v>
      </c>
      <c r="K10" t="s">
        <v>232</v>
      </c>
      <c r="L10" t="b">
        <v>1</v>
      </c>
      <c r="N10" t="s">
        <v>23</v>
      </c>
      <c r="O10" t="str">
        <f>HYPERLINK("#'confiscation_rep'!A1","Open")</f>
        <v>Open</v>
      </c>
    </row>
    <row r="11" spans="1:15" x14ac:dyDescent="0.35">
      <c r="A11" t="s">
        <v>24</v>
      </c>
      <c r="B11" s="1" t="s">
        <v>67</v>
      </c>
      <c r="C11" t="s">
        <v>98</v>
      </c>
      <c r="D11" s="3" t="s">
        <v>108</v>
      </c>
      <c r="E11" t="s">
        <v>24</v>
      </c>
      <c r="F11" s="3" t="s">
        <v>153</v>
      </c>
      <c r="G11">
        <v>9</v>
      </c>
      <c r="H11">
        <v>2</v>
      </c>
      <c r="I11" t="s">
        <v>195</v>
      </c>
      <c r="J11" t="s">
        <v>227</v>
      </c>
      <c r="K11" t="s">
        <v>232</v>
      </c>
      <c r="L11" t="b">
        <v>1</v>
      </c>
      <c r="N11" t="s">
        <v>24</v>
      </c>
      <c r="O11" t="str">
        <f>HYPERLINK("#'contact_rep'!A1","Open")</f>
        <v>Open</v>
      </c>
    </row>
    <row r="12" spans="1:15" x14ac:dyDescent="0.35">
      <c r="A12" t="s">
        <v>25</v>
      </c>
      <c r="B12" s="1" t="s">
        <v>68</v>
      </c>
      <c r="C12" t="s">
        <v>98</v>
      </c>
      <c r="D12" s="3" t="s">
        <v>109</v>
      </c>
      <c r="E12" t="s">
        <v>25</v>
      </c>
      <c r="F12" s="3" t="s">
        <v>154</v>
      </c>
      <c r="G12">
        <v>2</v>
      </c>
      <c r="H12">
        <v>0</v>
      </c>
      <c r="I12" t="s">
        <v>68</v>
      </c>
      <c r="J12" t="s">
        <v>227</v>
      </c>
      <c r="K12" t="s">
        <v>232</v>
      </c>
      <c r="L12" t="b">
        <v>1</v>
      </c>
      <c r="N12" t="s">
        <v>25</v>
      </c>
      <c r="O12" t="str">
        <f>HYPERLINK("#'entry_alert_rep'!A1","Open")</f>
        <v>Open</v>
      </c>
    </row>
    <row r="13" spans="1:15" x14ac:dyDescent="0.35">
      <c r="A13" t="s">
        <v>26</v>
      </c>
      <c r="B13" s="1" t="s">
        <v>69</v>
      </c>
      <c r="C13" t="s">
        <v>98</v>
      </c>
      <c r="D13" s="3" t="s">
        <v>110</v>
      </c>
      <c r="E13" t="s">
        <v>26</v>
      </c>
      <c r="F13" s="3" t="s">
        <v>155</v>
      </c>
      <c r="G13">
        <v>4</v>
      </c>
      <c r="H13">
        <v>2</v>
      </c>
      <c r="I13" t="s">
        <v>196</v>
      </c>
      <c r="J13" t="s">
        <v>229</v>
      </c>
      <c r="K13" t="s">
        <v>234</v>
      </c>
      <c r="L13" t="b">
        <v>1</v>
      </c>
      <c r="N13" t="s">
        <v>26</v>
      </c>
      <c r="O13" t="str">
        <f>HYPERLINK("#'fence_rep'!A1","Open")</f>
        <v>Open</v>
      </c>
    </row>
    <row r="14" spans="1:15" x14ac:dyDescent="0.35">
      <c r="A14" t="s">
        <v>27</v>
      </c>
      <c r="B14" s="1" t="s">
        <v>70</v>
      </c>
      <c r="C14" t="s">
        <v>98</v>
      </c>
      <c r="D14" s="3" t="s">
        <v>111</v>
      </c>
      <c r="E14" t="s">
        <v>27</v>
      </c>
      <c r="F14" s="3" t="s">
        <v>156</v>
      </c>
      <c r="G14">
        <v>3</v>
      </c>
      <c r="H14">
        <v>3</v>
      </c>
      <c r="I14" t="s">
        <v>197</v>
      </c>
      <c r="J14" t="s">
        <v>230</v>
      </c>
      <c r="K14" t="s">
        <v>235</v>
      </c>
      <c r="L14" t="b">
        <v>1</v>
      </c>
      <c r="N14" t="s">
        <v>27</v>
      </c>
      <c r="O14" t="str">
        <f>HYPERLINK("#'fire_rep'!A1","Open")</f>
        <v>Open</v>
      </c>
    </row>
    <row r="15" spans="1:15" x14ac:dyDescent="0.35">
      <c r="A15" t="s">
        <v>28</v>
      </c>
      <c r="B15" s="1" t="s">
        <v>71</v>
      </c>
      <c r="C15" t="s">
        <v>98</v>
      </c>
      <c r="D15" s="3" t="s">
        <v>112</v>
      </c>
      <c r="E15" t="s">
        <v>28</v>
      </c>
      <c r="F15" s="3" t="s">
        <v>157</v>
      </c>
      <c r="G15">
        <v>7</v>
      </c>
      <c r="H15">
        <v>0</v>
      </c>
      <c r="I15" t="s">
        <v>198</v>
      </c>
      <c r="J15" t="s">
        <v>228</v>
      </c>
      <c r="K15" t="s">
        <v>233</v>
      </c>
      <c r="L15" t="b">
        <v>1</v>
      </c>
      <c r="N15" t="s">
        <v>28</v>
      </c>
      <c r="O15" t="str">
        <f>HYPERLINK("#'geofence_break'!A1","Open")</f>
        <v>Open</v>
      </c>
    </row>
    <row r="16" spans="1:15" ht="29" x14ac:dyDescent="0.35">
      <c r="A16" t="s">
        <v>29</v>
      </c>
      <c r="B16" s="1" t="s">
        <v>72</v>
      </c>
      <c r="C16" t="s">
        <v>98</v>
      </c>
      <c r="D16" s="3" t="s">
        <v>113</v>
      </c>
      <c r="E16" t="s">
        <v>27</v>
      </c>
      <c r="F16" s="3" t="s">
        <v>156</v>
      </c>
      <c r="G16">
        <v>9</v>
      </c>
      <c r="H16">
        <v>0</v>
      </c>
      <c r="I16" t="s">
        <v>199</v>
      </c>
      <c r="J16" t="s">
        <v>228</v>
      </c>
      <c r="K16" t="s">
        <v>233</v>
      </c>
      <c r="L16" t="b">
        <v>1</v>
      </c>
      <c r="N16" t="s">
        <v>29</v>
      </c>
      <c r="O16" t="str">
        <f>HYPERLINK("#'gfw_activefire_alert'!A1","Open")</f>
        <v>Open</v>
      </c>
    </row>
    <row r="17" spans="1:15" ht="29" x14ac:dyDescent="0.35">
      <c r="A17" t="s">
        <v>30</v>
      </c>
      <c r="B17" s="1" t="s">
        <v>73</v>
      </c>
      <c r="C17" t="s">
        <v>98</v>
      </c>
      <c r="D17" s="3" t="s">
        <v>114</v>
      </c>
      <c r="E17" t="s">
        <v>143</v>
      </c>
      <c r="F17" s="3" t="s">
        <v>158</v>
      </c>
      <c r="G17">
        <v>4</v>
      </c>
      <c r="H17">
        <v>0</v>
      </c>
      <c r="I17" t="s">
        <v>200</v>
      </c>
      <c r="J17" t="s">
        <v>228</v>
      </c>
      <c r="K17" t="s">
        <v>233</v>
      </c>
      <c r="L17" t="b">
        <v>1</v>
      </c>
      <c r="N17" t="s">
        <v>30</v>
      </c>
      <c r="O17" t="str">
        <f>HYPERLINK("#'gfw_glad_alert'!A1","Open")</f>
        <v>Open</v>
      </c>
    </row>
    <row r="18" spans="1:15" x14ac:dyDescent="0.35">
      <c r="A18" t="s">
        <v>31</v>
      </c>
      <c r="B18" s="1" t="s">
        <v>74</v>
      </c>
      <c r="C18" t="s">
        <v>98</v>
      </c>
      <c r="D18" s="3" t="s">
        <v>115</v>
      </c>
      <c r="E18" t="s">
        <v>31</v>
      </c>
      <c r="F18" s="3" t="s">
        <v>159</v>
      </c>
      <c r="G18">
        <v>8</v>
      </c>
      <c r="H18">
        <v>7</v>
      </c>
      <c r="I18" t="s">
        <v>201</v>
      </c>
      <c r="J18" t="s">
        <v>230</v>
      </c>
      <c r="K18" t="s">
        <v>235</v>
      </c>
      <c r="L18" t="b">
        <v>1</v>
      </c>
      <c r="N18" t="s">
        <v>31</v>
      </c>
      <c r="O18" t="str">
        <f>HYPERLINK("#'hwc_rep'!A1","Open")</f>
        <v>Open</v>
      </c>
    </row>
    <row r="19" spans="1:15" x14ac:dyDescent="0.35">
      <c r="A19" t="s">
        <v>32</v>
      </c>
      <c r="B19" s="1" t="s">
        <v>75</v>
      </c>
      <c r="C19" t="s">
        <v>98</v>
      </c>
      <c r="D19" s="3" t="s">
        <v>116</v>
      </c>
      <c r="E19" t="s">
        <v>32</v>
      </c>
      <c r="F19" s="3" t="s">
        <v>160</v>
      </c>
      <c r="G19">
        <v>6</v>
      </c>
      <c r="H19">
        <v>0</v>
      </c>
      <c r="I19" t="s">
        <v>202</v>
      </c>
      <c r="J19" t="s">
        <v>228</v>
      </c>
      <c r="K19" t="s">
        <v>233</v>
      </c>
      <c r="L19" t="b">
        <v>1</v>
      </c>
      <c r="N19" t="s">
        <v>32</v>
      </c>
      <c r="O19" t="str">
        <f>HYPERLINK("#'immobility'!A1","Open")</f>
        <v>Open</v>
      </c>
    </row>
    <row r="20" spans="1:15" x14ac:dyDescent="0.35">
      <c r="A20" t="s">
        <v>33</v>
      </c>
      <c r="B20" s="1" t="s">
        <v>75</v>
      </c>
      <c r="C20" t="s">
        <v>98</v>
      </c>
      <c r="D20" s="3" t="s">
        <v>117</v>
      </c>
      <c r="E20" t="s">
        <v>33</v>
      </c>
      <c r="F20" s="3" t="s">
        <v>161</v>
      </c>
      <c r="G20">
        <v>6</v>
      </c>
      <c r="H20">
        <v>0</v>
      </c>
      <c r="I20" t="s">
        <v>203</v>
      </c>
      <c r="J20" t="s">
        <v>228</v>
      </c>
      <c r="K20" t="s">
        <v>233</v>
      </c>
      <c r="L20" t="b">
        <v>1</v>
      </c>
      <c r="N20" t="s">
        <v>33</v>
      </c>
      <c r="O20" t="str">
        <f>HYPERLINK("#'immobility_all_clear'!A1","Open")</f>
        <v>Open</v>
      </c>
    </row>
    <row r="21" spans="1:15" x14ac:dyDescent="0.35">
      <c r="A21" t="s">
        <v>34</v>
      </c>
      <c r="B21" s="1" t="s">
        <v>76</v>
      </c>
      <c r="C21" t="s">
        <v>98</v>
      </c>
      <c r="D21" s="3" t="s">
        <v>118</v>
      </c>
      <c r="E21" t="s">
        <v>34</v>
      </c>
      <c r="F21" s="3" t="s">
        <v>162</v>
      </c>
      <c r="G21">
        <v>3</v>
      </c>
      <c r="H21">
        <v>2</v>
      </c>
      <c r="I21" t="s">
        <v>76</v>
      </c>
      <c r="J21" t="s">
        <v>227</v>
      </c>
      <c r="K21" t="s">
        <v>232</v>
      </c>
      <c r="L21" t="b">
        <v>1</v>
      </c>
      <c r="N21" t="s">
        <v>34</v>
      </c>
      <c r="O21" t="str">
        <f>HYPERLINK("#'incident_collection'!A1","Open")</f>
        <v>Open</v>
      </c>
    </row>
    <row r="22" spans="1:15" ht="29" x14ac:dyDescent="0.35">
      <c r="A22" t="s">
        <v>35</v>
      </c>
      <c r="B22" s="1" t="s">
        <v>77</v>
      </c>
      <c r="C22" t="s">
        <v>98</v>
      </c>
      <c r="D22" s="3" t="s">
        <v>119</v>
      </c>
      <c r="E22" t="s">
        <v>35</v>
      </c>
      <c r="F22" s="3" t="s">
        <v>163</v>
      </c>
      <c r="G22">
        <v>4</v>
      </c>
      <c r="H22">
        <v>4</v>
      </c>
      <c r="I22" t="s">
        <v>204</v>
      </c>
      <c r="J22" t="s">
        <v>230</v>
      </c>
      <c r="K22" t="s">
        <v>235</v>
      </c>
      <c r="L22" t="b">
        <v>1</v>
      </c>
      <c r="N22" t="s">
        <v>35</v>
      </c>
      <c r="O22" t="str">
        <f>HYPERLINK("#'injured_animal_rep'!A1","Open")</f>
        <v>Open</v>
      </c>
    </row>
    <row r="23" spans="1:15" x14ac:dyDescent="0.35">
      <c r="A23" t="s">
        <v>36</v>
      </c>
      <c r="B23" s="1" t="s">
        <v>78</v>
      </c>
      <c r="C23" t="s">
        <v>98</v>
      </c>
      <c r="D23" s="3" t="s">
        <v>120</v>
      </c>
      <c r="E23" t="s">
        <v>36</v>
      </c>
      <c r="F23" s="3" t="s">
        <v>164</v>
      </c>
      <c r="G23">
        <v>3</v>
      </c>
      <c r="H23">
        <v>3</v>
      </c>
      <c r="I23" t="s">
        <v>205</v>
      </c>
      <c r="J23" t="s">
        <v>231</v>
      </c>
      <c r="K23" t="s">
        <v>236</v>
      </c>
      <c r="L23" t="b">
        <v>1</v>
      </c>
      <c r="N23" t="s">
        <v>36</v>
      </c>
      <c r="O23" t="str">
        <f>HYPERLINK("#'invasive_species_rep'!A1","Open")</f>
        <v>Open</v>
      </c>
    </row>
    <row r="24" spans="1:15" x14ac:dyDescent="0.35">
      <c r="A24" t="s">
        <v>37</v>
      </c>
      <c r="B24" s="1" t="s">
        <v>79</v>
      </c>
      <c r="C24" t="s">
        <v>98</v>
      </c>
      <c r="D24" s="3" t="s">
        <v>121</v>
      </c>
      <c r="E24" t="s">
        <v>37</v>
      </c>
      <c r="F24" s="3" t="s">
        <v>165</v>
      </c>
      <c r="G24">
        <v>5</v>
      </c>
      <c r="H24">
        <v>1</v>
      </c>
      <c r="I24" t="s">
        <v>206</v>
      </c>
      <c r="J24" t="s">
        <v>227</v>
      </c>
      <c r="K24" t="s">
        <v>232</v>
      </c>
      <c r="L24" t="b">
        <v>1</v>
      </c>
      <c r="N24" t="s">
        <v>37</v>
      </c>
      <c r="O24" t="str">
        <f>HYPERLINK("#'light_rep'!A1","Open")</f>
        <v>Open</v>
      </c>
    </row>
    <row r="25" spans="1:15" x14ac:dyDescent="0.35">
      <c r="A25" t="s">
        <v>38</v>
      </c>
      <c r="B25" s="1" t="s">
        <v>80</v>
      </c>
      <c r="C25" t="s">
        <v>98</v>
      </c>
      <c r="D25" s="3" t="s">
        <v>122</v>
      </c>
      <c r="E25" t="s">
        <v>38</v>
      </c>
      <c r="F25" s="3" t="s">
        <v>166</v>
      </c>
      <c r="G25">
        <v>6</v>
      </c>
      <c r="H25">
        <v>0</v>
      </c>
      <c r="I25" t="s">
        <v>207</v>
      </c>
      <c r="J25" t="s">
        <v>228</v>
      </c>
      <c r="K25" t="s">
        <v>233</v>
      </c>
      <c r="L25" t="b">
        <v>1</v>
      </c>
      <c r="N25" t="s">
        <v>38</v>
      </c>
      <c r="O25" t="str">
        <f>HYPERLINK("#'low_speed_percentile'!A1","Open")</f>
        <v>Open</v>
      </c>
    </row>
    <row r="26" spans="1:15" x14ac:dyDescent="0.35">
      <c r="A26" t="s">
        <v>39</v>
      </c>
      <c r="B26" s="1" t="s">
        <v>81</v>
      </c>
      <c r="C26" t="s">
        <v>98</v>
      </c>
      <c r="D26" s="3" t="s">
        <v>123</v>
      </c>
      <c r="E26" t="s">
        <v>39</v>
      </c>
      <c r="F26" s="3" t="s">
        <v>167</v>
      </c>
      <c r="G26">
        <v>4</v>
      </c>
      <c r="H26">
        <v>0</v>
      </c>
      <c r="I26" t="s">
        <v>208</v>
      </c>
      <c r="J26" t="s">
        <v>228</v>
      </c>
      <c r="K26" t="s">
        <v>233</v>
      </c>
      <c r="L26" t="b">
        <v>1</v>
      </c>
      <c r="N26" t="s">
        <v>39</v>
      </c>
      <c r="O26" t="str">
        <f>HYPERLINK("#'low_speed_wilcoxon'!A1","Open")</f>
        <v>Open</v>
      </c>
    </row>
    <row r="27" spans="1:15" x14ac:dyDescent="0.35">
      <c r="A27" t="s">
        <v>40</v>
      </c>
      <c r="B27" s="1" t="s">
        <v>82</v>
      </c>
      <c r="C27" t="s">
        <v>98</v>
      </c>
      <c r="D27" s="3" t="s">
        <v>124</v>
      </c>
      <c r="E27" t="s">
        <v>40</v>
      </c>
      <c r="F27" s="3" t="s">
        <v>168</v>
      </c>
      <c r="G27">
        <v>5</v>
      </c>
      <c r="H27">
        <v>0</v>
      </c>
      <c r="I27" t="s">
        <v>209</v>
      </c>
      <c r="J27" t="s">
        <v>228</v>
      </c>
      <c r="K27" t="s">
        <v>233</v>
      </c>
      <c r="L27" t="b">
        <v>1</v>
      </c>
      <c r="N27" t="s">
        <v>40</v>
      </c>
      <c r="O27" t="str">
        <f>HYPERLINK("#'low_speed_wilcoxon_all_clear'!A1","Open")</f>
        <v>Open</v>
      </c>
    </row>
    <row r="28" spans="1:15" x14ac:dyDescent="0.35">
      <c r="A28" t="s">
        <v>41</v>
      </c>
      <c r="B28" s="1" t="s">
        <v>83</v>
      </c>
      <c r="C28" t="s">
        <v>98</v>
      </c>
      <c r="D28" s="3" t="s">
        <v>125</v>
      </c>
      <c r="E28" t="s">
        <v>41</v>
      </c>
      <c r="F28" s="3" t="s">
        <v>169</v>
      </c>
      <c r="G28">
        <v>10</v>
      </c>
      <c r="H28">
        <v>2</v>
      </c>
      <c r="I28" t="s">
        <v>210</v>
      </c>
      <c r="J28" t="s">
        <v>227</v>
      </c>
      <c r="K28" t="s">
        <v>232</v>
      </c>
      <c r="L28" t="b">
        <v>1</v>
      </c>
      <c r="N28" t="s">
        <v>41</v>
      </c>
      <c r="O28" t="str">
        <f>HYPERLINK("#'medevac_rep'!A1","Open")</f>
        <v>Open</v>
      </c>
    </row>
    <row r="29" spans="1:15" x14ac:dyDescent="0.35">
      <c r="A29" t="s">
        <v>42</v>
      </c>
      <c r="B29" s="1" t="s">
        <v>84</v>
      </c>
      <c r="C29" t="s">
        <v>98</v>
      </c>
      <c r="D29" s="3" t="s">
        <v>126</v>
      </c>
      <c r="E29" t="s">
        <v>42</v>
      </c>
      <c r="F29" s="3" t="s">
        <v>170</v>
      </c>
      <c r="G29">
        <v>4</v>
      </c>
      <c r="H29">
        <v>0</v>
      </c>
      <c r="I29" t="s">
        <v>211</v>
      </c>
      <c r="J29" t="s">
        <v>227</v>
      </c>
      <c r="K29" t="s">
        <v>232</v>
      </c>
      <c r="L29" t="b">
        <v>1</v>
      </c>
      <c r="N29" t="s">
        <v>42</v>
      </c>
      <c r="O29" t="str">
        <f>HYPERLINK("#'mist_rep'!A1","Open")</f>
        <v>Open</v>
      </c>
    </row>
    <row r="30" spans="1:15" ht="29" x14ac:dyDescent="0.35">
      <c r="A30" t="s">
        <v>43</v>
      </c>
      <c r="B30" s="1" t="s">
        <v>85</v>
      </c>
      <c r="C30" t="s">
        <v>98</v>
      </c>
      <c r="D30" s="3" t="s">
        <v>127</v>
      </c>
      <c r="E30" t="s">
        <v>43</v>
      </c>
      <c r="F30" s="3" t="s">
        <v>171</v>
      </c>
      <c r="G30">
        <v>3</v>
      </c>
      <c r="H30">
        <v>1</v>
      </c>
      <c r="I30" t="s">
        <v>212</v>
      </c>
      <c r="J30" t="s">
        <v>227</v>
      </c>
      <c r="K30" t="s">
        <v>232</v>
      </c>
      <c r="L30" t="b">
        <v>1</v>
      </c>
      <c r="N30" t="s">
        <v>43</v>
      </c>
      <c r="O30" t="str">
        <f>HYPERLINK("#'poacher_camp_rep'!A1","Open")</f>
        <v>Open</v>
      </c>
    </row>
    <row r="31" spans="1:15" x14ac:dyDescent="0.35">
      <c r="A31" t="s">
        <v>44</v>
      </c>
      <c r="B31" s="1" t="s">
        <v>86</v>
      </c>
      <c r="C31" t="s">
        <v>98</v>
      </c>
      <c r="D31" s="3" t="s">
        <v>128</v>
      </c>
      <c r="E31" t="s">
        <v>44</v>
      </c>
      <c r="F31" s="3" t="s">
        <v>172</v>
      </c>
      <c r="G31">
        <v>7</v>
      </c>
      <c r="H31">
        <v>0</v>
      </c>
      <c r="I31" t="s">
        <v>213</v>
      </c>
      <c r="J31" t="s">
        <v>228</v>
      </c>
      <c r="K31" t="s">
        <v>233</v>
      </c>
      <c r="L31" t="b">
        <v>1</v>
      </c>
      <c r="N31" t="s">
        <v>44</v>
      </c>
      <c r="O31" t="str">
        <f>HYPERLINK("#'proximity'!A1","Open")</f>
        <v>Open</v>
      </c>
    </row>
    <row r="32" spans="1:15" x14ac:dyDescent="0.35">
      <c r="A32" t="s">
        <v>45</v>
      </c>
      <c r="B32" s="1" t="s">
        <v>87</v>
      </c>
      <c r="C32" t="s">
        <v>98</v>
      </c>
      <c r="D32" s="3" t="s">
        <v>129</v>
      </c>
      <c r="E32" t="s">
        <v>45</v>
      </c>
      <c r="F32" s="3" t="s">
        <v>173</v>
      </c>
      <c r="G32">
        <v>1</v>
      </c>
      <c r="H32">
        <v>0</v>
      </c>
      <c r="I32" t="s">
        <v>214</v>
      </c>
      <c r="J32" t="s">
        <v>229</v>
      </c>
      <c r="K32" t="s">
        <v>234</v>
      </c>
      <c r="L32" t="b">
        <v>1</v>
      </c>
      <c r="N32" t="s">
        <v>45</v>
      </c>
      <c r="O32" t="str">
        <f>HYPERLINK("#'radio_rep'!A1","Open")</f>
        <v>Open</v>
      </c>
    </row>
    <row r="33" spans="1:15" x14ac:dyDescent="0.35">
      <c r="A33" t="s">
        <v>46</v>
      </c>
      <c r="B33" s="1" t="s">
        <v>88</v>
      </c>
      <c r="C33" t="s">
        <v>98</v>
      </c>
      <c r="D33" s="3" t="s">
        <v>130</v>
      </c>
      <c r="E33" t="s">
        <v>46</v>
      </c>
      <c r="F33" s="3" t="s">
        <v>174</v>
      </c>
      <c r="G33">
        <v>2</v>
      </c>
      <c r="H33">
        <v>0</v>
      </c>
      <c r="I33" t="s">
        <v>215</v>
      </c>
      <c r="J33" t="s">
        <v>230</v>
      </c>
      <c r="K33" t="s">
        <v>235</v>
      </c>
      <c r="L33" t="b">
        <v>1</v>
      </c>
      <c r="N33" t="s">
        <v>46</v>
      </c>
      <c r="O33" t="str">
        <f>HYPERLINK("#'rainfall_rep'!A1","Open")</f>
        <v>Open</v>
      </c>
    </row>
    <row r="34" spans="1:15" x14ac:dyDescent="0.35">
      <c r="A34" t="s">
        <v>47</v>
      </c>
      <c r="B34" s="1" t="s">
        <v>89</v>
      </c>
      <c r="C34" t="s">
        <v>98</v>
      </c>
      <c r="D34" s="3" t="s">
        <v>131</v>
      </c>
      <c r="E34" t="s">
        <v>47</v>
      </c>
      <c r="F34" s="3" t="s">
        <v>175</v>
      </c>
      <c r="G34">
        <v>4</v>
      </c>
      <c r="H34">
        <v>2</v>
      </c>
      <c r="I34" t="s">
        <v>216</v>
      </c>
      <c r="J34" t="s">
        <v>227</v>
      </c>
      <c r="K34" t="s">
        <v>232</v>
      </c>
      <c r="L34" t="b">
        <v>1</v>
      </c>
      <c r="N34" t="s">
        <v>47</v>
      </c>
      <c r="O34" t="str">
        <f>HYPERLINK("#'ranger_shot_rep'!A1","Open")</f>
        <v>Open</v>
      </c>
    </row>
    <row r="35" spans="1:15" x14ac:dyDescent="0.35">
      <c r="A35" t="s">
        <v>48</v>
      </c>
      <c r="B35" s="1" t="s">
        <v>90</v>
      </c>
      <c r="C35" t="s">
        <v>98</v>
      </c>
      <c r="D35" s="3" t="s">
        <v>132</v>
      </c>
      <c r="E35" t="s">
        <v>48</v>
      </c>
      <c r="F35" s="3" t="s">
        <v>176</v>
      </c>
      <c r="G35">
        <v>4</v>
      </c>
      <c r="H35">
        <v>2</v>
      </c>
      <c r="I35" t="s">
        <v>217</v>
      </c>
      <c r="J35" t="s">
        <v>230</v>
      </c>
      <c r="K35" t="s">
        <v>235</v>
      </c>
      <c r="L35" t="b">
        <v>1</v>
      </c>
      <c r="N35" t="s">
        <v>48</v>
      </c>
      <c r="O35" t="str">
        <f>HYPERLINK("#'rhino_sighting_rep'!A1","Open")</f>
        <v>Open</v>
      </c>
    </row>
    <row r="36" spans="1:15" x14ac:dyDescent="0.35">
      <c r="A36" t="s">
        <v>49</v>
      </c>
      <c r="B36" s="1" t="s">
        <v>91</v>
      </c>
      <c r="C36" t="s">
        <v>98</v>
      </c>
      <c r="D36" s="3" t="s">
        <v>133</v>
      </c>
      <c r="E36" t="s">
        <v>49</v>
      </c>
      <c r="F36" s="3" t="s">
        <v>177</v>
      </c>
      <c r="G36">
        <v>7</v>
      </c>
      <c r="H36">
        <v>2</v>
      </c>
      <c r="I36" t="s">
        <v>218</v>
      </c>
      <c r="J36" t="s">
        <v>227</v>
      </c>
      <c r="K36" t="s">
        <v>232</v>
      </c>
      <c r="L36" t="b">
        <v>1</v>
      </c>
      <c r="N36" t="s">
        <v>49</v>
      </c>
      <c r="O36" t="str">
        <f>HYPERLINK("#'shot_rep'!A1","Open")</f>
        <v>Open</v>
      </c>
    </row>
    <row r="37" spans="1:15" x14ac:dyDescent="0.35">
      <c r="A37" t="s">
        <v>50</v>
      </c>
      <c r="B37" s="1" t="s">
        <v>68</v>
      </c>
      <c r="C37" t="s">
        <v>98</v>
      </c>
      <c r="D37" s="3" t="s">
        <v>134</v>
      </c>
      <c r="E37" t="s">
        <v>50</v>
      </c>
      <c r="F37" s="3" t="s">
        <v>178</v>
      </c>
      <c r="G37">
        <v>3</v>
      </c>
      <c r="H37">
        <v>0</v>
      </c>
      <c r="I37" t="s">
        <v>219</v>
      </c>
      <c r="J37" t="s">
        <v>228</v>
      </c>
      <c r="K37" t="s">
        <v>233</v>
      </c>
      <c r="L37" t="b">
        <v>1</v>
      </c>
      <c r="N37" t="s">
        <v>50</v>
      </c>
      <c r="O37" t="str">
        <f>HYPERLINK("#'silence_source_provider_rep'!A1","Open")</f>
        <v>Open</v>
      </c>
    </row>
    <row r="38" spans="1:15" x14ac:dyDescent="0.35">
      <c r="A38" t="s">
        <v>51</v>
      </c>
      <c r="B38" s="1" t="s">
        <v>68</v>
      </c>
      <c r="C38" t="s">
        <v>98</v>
      </c>
      <c r="D38" s="3" t="s">
        <v>135</v>
      </c>
      <c r="E38" t="s">
        <v>51</v>
      </c>
      <c r="F38" s="3" t="s">
        <v>179</v>
      </c>
      <c r="G38">
        <v>7</v>
      </c>
      <c r="H38">
        <v>0</v>
      </c>
      <c r="I38" t="s">
        <v>220</v>
      </c>
      <c r="J38" t="s">
        <v>228</v>
      </c>
      <c r="K38" t="s">
        <v>233</v>
      </c>
      <c r="L38" t="b">
        <v>1</v>
      </c>
      <c r="N38" t="s">
        <v>51</v>
      </c>
      <c r="O38" t="str">
        <f>HYPERLINK("#'silence_source_rep'!A1","Open")</f>
        <v>Open</v>
      </c>
    </row>
    <row r="39" spans="1:15" x14ac:dyDescent="0.35">
      <c r="A39" t="s">
        <v>52</v>
      </c>
      <c r="B39" s="1" t="s">
        <v>92</v>
      </c>
      <c r="C39" t="s">
        <v>98</v>
      </c>
      <c r="D39" s="3" t="s">
        <v>136</v>
      </c>
      <c r="E39" t="s">
        <v>52</v>
      </c>
      <c r="F39" s="3" t="s">
        <v>180</v>
      </c>
      <c r="G39">
        <v>3</v>
      </c>
      <c r="H39">
        <v>0</v>
      </c>
      <c r="I39" t="s">
        <v>221</v>
      </c>
      <c r="J39" t="s">
        <v>227</v>
      </c>
      <c r="K39" t="s">
        <v>232</v>
      </c>
      <c r="L39" t="b">
        <v>1</v>
      </c>
      <c r="N39" t="s">
        <v>52</v>
      </c>
      <c r="O39" t="str">
        <f>HYPERLINK("#'sit_rep'!A1","Open")</f>
        <v>Open</v>
      </c>
    </row>
    <row r="40" spans="1:15" x14ac:dyDescent="0.35">
      <c r="A40" t="s">
        <v>53</v>
      </c>
      <c r="B40" s="1" t="s">
        <v>93</v>
      </c>
      <c r="C40" t="s">
        <v>98</v>
      </c>
      <c r="D40" s="3" t="s">
        <v>137</v>
      </c>
      <c r="E40" t="s">
        <v>53</v>
      </c>
      <c r="F40" s="3" t="s">
        <v>181</v>
      </c>
      <c r="G40">
        <v>4</v>
      </c>
      <c r="H40">
        <v>2</v>
      </c>
      <c r="I40" t="s">
        <v>222</v>
      </c>
      <c r="J40" t="s">
        <v>227</v>
      </c>
      <c r="K40" t="s">
        <v>232</v>
      </c>
      <c r="L40" t="b">
        <v>1</v>
      </c>
      <c r="N40" t="s">
        <v>53</v>
      </c>
      <c r="O40" t="str">
        <f>HYPERLINK("#'snare_rep'!A1","Open")</f>
        <v>Open</v>
      </c>
    </row>
    <row r="41" spans="1:15" x14ac:dyDescent="0.35">
      <c r="A41" t="s">
        <v>54</v>
      </c>
      <c r="B41" s="1" t="s">
        <v>94</v>
      </c>
      <c r="C41" t="s">
        <v>98</v>
      </c>
      <c r="D41" s="3" t="s">
        <v>138</v>
      </c>
      <c r="E41" t="s">
        <v>54</v>
      </c>
      <c r="F41" s="3" t="s">
        <v>182</v>
      </c>
      <c r="G41">
        <v>5</v>
      </c>
      <c r="H41">
        <v>2</v>
      </c>
      <c r="I41" t="s">
        <v>223</v>
      </c>
      <c r="J41" t="s">
        <v>227</v>
      </c>
      <c r="K41" t="s">
        <v>232</v>
      </c>
      <c r="L41" t="b">
        <v>1</v>
      </c>
      <c r="N41" t="s">
        <v>54</v>
      </c>
      <c r="O41" t="str">
        <f>HYPERLINK("#'spoor_rep'!A1","Open")</f>
        <v>Open</v>
      </c>
    </row>
    <row r="42" spans="1:15" x14ac:dyDescent="0.35">
      <c r="A42" t="s">
        <v>55</v>
      </c>
      <c r="B42" s="1" t="s">
        <v>95</v>
      </c>
      <c r="C42" t="s">
        <v>98</v>
      </c>
      <c r="D42" s="3" t="s">
        <v>139</v>
      </c>
      <c r="E42" t="s">
        <v>55</v>
      </c>
      <c r="F42" s="3" t="s">
        <v>183</v>
      </c>
      <c r="G42">
        <v>10</v>
      </c>
      <c r="H42">
        <v>0</v>
      </c>
      <c r="I42" t="s">
        <v>224</v>
      </c>
      <c r="J42" t="s">
        <v>228</v>
      </c>
      <c r="K42" t="s">
        <v>233</v>
      </c>
      <c r="L42" t="b">
        <v>1</v>
      </c>
      <c r="N42" t="s">
        <v>55</v>
      </c>
      <c r="O42" t="str">
        <f>HYPERLINK("#'subject_proximity'!A1","Open")</f>
        <v>Open</v>
      </c>
    </row>
    <row r="43" spans="1:15" x14ac:dyDescent="0.35">
      <c r="A43" t="s">
        <v>56</v>
      </c>
      <c r="B43" s="1" t="s">
        <v>96</v>
      </c>
      <c r="C43" t="s">
        <v>98</v>
      </c>
      <c r="D43" s="3" t="s">
        <v>140</v>
      </c>
      <c r="E43" t="s">
        <v>56</v>
      </c>
      <c r="F43" s="3" t="s">
        <v>184</v>
      </c>
      <c r="G43">
        <v>7</v>
      </c>
      <c r="H43">
        <v>2</v>
      </c>
      <c r="I43" t="s">
        <v>225</v>
      </c>
      <c r="J43" t="s">
        <v>227</v>
      </c>
      <c r="K43" t="s">
        <v>232</v>
      </c>
      <c r="L43" t="b">
        <v>1</v>
      </c>
      <c r="N43" t="s">
        <v>56</v>
      </c>
      <c r="O43" t="str">
        <f>HYPERLINK("#'traffic_rep'!A1","Open")</f>
        <v>Open</v>
      </c>
    </row>
    <row r="44" spans="1:15" ht="29" x14ac:dyDescent="0.35">
      <c r="A44" t="s">
        <v>57</v>
      </c>
      <c r="B44" s="1" t="s">
        <v>97</v>
      </c>
      <c r="C44" t="s">
        <v>98</v>
      </c>
      <c r="D44" s="3" t="s">
        <v>141</v>
      </c>
      <c r="E44" t="s">
        <v>57</v>
      </c>
      <c r="F44" s="3" t="s">
        <v>185</v>
      </c>
      <c r="G44">
        <v>3</v>
      </c>
      <c r="H44">
        <v>2</v>
      </c>
      <c r="I44" t="s">
        <v>226</v>
      </c>
      <c r="J44" t="s">
        <v>230</v>
      </c>
      <c r="K44" t="s">
        <v>235</v>
      </c>
      <c r="L44" t="b">
        <v>1</v>
      </c>
      <c r="N44" t="s">
        <v>57</v>
      </c>
      <c r="O44" t="str">
        <f>HYPERLINK("#'wildlife_sighting_rep'!A1","Open")</f>
        <v>Open</v>
      </c>
    </row>
  </sheetData>
  <autoFilter ref="A1:O44" xr:uid="{00000000-0009-0000-0000-000000000000}"/>
  <hyperlinks>
    <hyperlink ref="D2" r:id="rId1" xr:uid="{00000000-0004-0000-0000-000000000000}"/>
    <hyperlink ref="F2" r:id="rId2" xr:uid="{00000000-0004-0000-0000-000001000000}"/>
    <hyperlink ref="D3" r:id="rId3" xr:uid="{00000000-0004-0000-0000-000002000000}"/>
    <hyperlink ref="F3" r:id="rId4" xr:uid="{00000000-0004-0000-0000-000003000000}"/>
    <hyperlink ref="D4" r:id="rId5" xr:uid="{00000000-0004-0000-0000-000004000000}"/>
    <hyperlink ref="F4" r:id="rId6" xr:uid="{00000000-0004-0000-0000-000005000000}"/>
    <hyperlink ref="D5" r:id="rId7" xr:uid="{00000000-0004-0000-0000-000006000000}"/>
    <hyperlink ref="F5" r:id="rId8" xr:uid="{00000000-0004-0000-0000-000007000000}"/>
    <hyperlink ref="D6" r:id="rId9" xr:uid="{00000000-0004-0000-0000-000008000000}"/>
    <hyperlink ref="F6" r:id="rId10" xr:uid="{00000000-0004-0000-0000-000009000000}"/>
    <hyperlink ref="D7" r:id="rId11" xr:uid="{00000000-0004-0000-0000-00000A000000}"/>
    <hyperlink ref="F7" r:id="rId12" xr:uid="{00000000-0004-0000-0000-00000B000000}"/>
    <hyperlink ref="D8" r:id="rId13" xr:uid="{00000000-0004-0000-0000-00000C000000}"/>
    <hyperlink ref="F8" r:id="rId14" xr:uid="{00000000-0004-0000-0000-00000D000000}"/>
    <hyperlink ref="D9" r:id="rId15" xr:uid="{00000000-0004-0000-0000-00000E000000}"/>
    <hyperlink ref="F9" r:id="rId16" xr:uid="{00000000-0004-0000-0000-00000F000000}"/>
    <hyperlink ref="D10" r:id="rId17" xr:uid="{00000000-0004-0000-0000-000010000000}"/>
    <hyperlink ref="F10" r:id="rId18" xr:uid="{00000000-0004-0000-0000-000011000000}"/>
    <hyperlink ref="D11" r:id="rId19" xr:uid="{00000000-0004-0000-0000-000012000000}"/>
    <hyperlink ref="F11" r:id="rId20" xr:uid="{00000000-0004-0000-0000-000013000000}"/>
    <hyperlink ref="D12" r:id="rId21" xr:uid="{00000000-0004-0000-0000-000014000000}"/>
    <hyperlink ref="F12" r:id="rId22" xr:uid="{00000000-0004-0000-0000-000015000000}"/>
    <hyperlink ref="D13" r:id="rId23" xr:uid="{00000000-0004-0000-0000-000016000000}"/>
    <hyperlink ref="F13" r:id="rId24" xr:uid="{00000000-0004-0000-0000-000017000000}"/>
    <hyperlink ref="D14" r:id="rId25" xr:uid="{00000000-0004-0000-0000-000018000000}"/>
    <hyperlink ref="F14" r:id="rId26" xr:uid="{00000000-0004-0000-0000-000019000000}"/>
    <hyperlink ref="D15" r:id="rId27" xr:uid="{00000000-0004-0000-0000-00001A000000}"/>
    <hyperlink ref="F15" r:id="rId28" xr:uid="{00000000-0004-0000-0000-00001B000000}"/>
    <hyperlink ref="D16" r:id="rId29" xr:uid="{00000000-0004-0000-0000-00001C000000}"/>
    <hyperlink ref="F16" r:id="rId30" xr:uid="{00000000-0004-0000-0000-00001D000000}"/>
    <hyperlink ref="D17" r:id="rId31" xr:uid="{00000000-0004-0000-0000-00001E000000}"/>
    <hyperlink ref="F17" r:id="rId32" xr:uid="{00000000-0004-0000-0000-00001F000000}"/>
    <hyperlink ref="D18" r:id="rId33" xr:uid="{00000000-0004-0000-0000-000020000000}"/>
    <hyperlink ref="F18" r:id="rId34" xr:uid="{00000000-0004-0000-0000-000021000000}"/>
    <hyperlink ref="D19" r:id="rId35" xr:uid="{00000000-0004-0000-0000-000022000000}"/>
    <hyperlink ref="F19" r:id="rId36" xr:uid="{00000000-0004-0000-0000-000023000000}"/>
    <hyperlink ref="D20" r:id="rId37" xr:uid="{00000000-0004-0000-0000-000024000000}"/>
    <hyperlink ref="F20" r:id="rId38" xr:uid="{00000000-0004-0000-0000-000025000000}"/>
    <hyperlink ref="D21" r:id="rId39" xr:uid="{00000000-0004-0000-0000-000026000000}"/>
    <hyperlink ref="F21" r:id="rId40" xr:uid="{00000000-0004-0000-0000-000027000000}"/>
    <hyperlink ref="D22" r:id="rId41" xr:uid="{00000000-0004-0000-0000-000028000000}"/>
    <hyperlink ref="F22" r:id="rId42" xr:uid="{00000000-0004-0000-0000-000029000000}"/>
    <hyperlink ref="D23" r:id="rId43" xr:uid="{00000000-0004-0000-0000-00002A000000}"/>
    <hyperlink ref="F23" r:id="rId44" xr:uid="{00000000-0004-0000-0000-00002B000000}"/>
    <hyperlink ref="D24" r:id="rId45" xr:uid="{00000000-0004-0000-0000-00002C000000}"/>
    <hyperlink ref="F24" r:id="rId46" xr:uid="{00000000-0004-0000-0000-00002D000000}"/>
    <hyperlink ref="D25" r:id="rId47" xr:uid="{00000000-0004-0000-0000-00002E000000}"/>
    <hyperlink ref="F25" r:id="rId48" xr:uid="{00000000-0004-0000-0000-00002F000000}"/>
    <hyperlink ref="D26" r:id="rId49" xr:uid="{00000000-0004-0000-0000-000030000000}"/>
    <hyperlink ref="F26" r:id="rId50" xr:uid="{00000000-0004-0000-0000-000031000000}"/>
    <hyperlink ref="D27" r:id="rId51" xr:uid="{00000000-0004-0000-0000-000032000000}"/>
    <hyperlink ref="F27" r:id="rId52" xr:uid="{00000000-0004-0000-0000-000033000000}"/>
    <hyperlink ref="D28" r:id="rId53" xr:uid="{00000000-0004-0000-0000-000034000000}"/>
    <hyperlink ref="F28" r:id="rId54" xr:uid="{00000000-0004-0000-0000-000035000000}"/>
    <hyperlink ref="D29" r:id="rId55" xr:uid="{00000000-0004-0000-0000-000036000000}"/>
    <hyperlink ref="F29" r:id="rId56" xr:uid="{00000000-0004-0000-0000-000037000000}"/>
    <hyperlink ref="D30" r:id="rId57" xr:uid="{00000000-0004-0000-0000-000038000000}"/>
    <hyperlink ref="F30" r:id="rId58" xr:uid="{00000000-0004-0000-0000-000039000000}"/>
    <hyperlink ref="D31" r:id="rId59" xr:uid="{00000000-0004-0000-0000-00003A000000}"/>
    <hyperlink ref="F31" r:id="rId60" xr:uid="{00000000-0004-0000-0000-00003B000000}"/>
    <hyperlink ref="D32" r:id="rId61" xr:uid="{00000000-0004-0000-0000-00003C000000}"/>
    <hyperlink ref="F32" r:id="rId62" xr:uid="{00000000-0004-0000-0000-00003D000000}"/>
    <hyperlink ref="D33" r:id="rId63" xr:uid="{00000000-0004-0000-0000-00003E000000}"/>
    <hyperlink ref="F33" r:id="rId64" xr:uid="{00000000-0004-0000-0000-00003F000000}"/>
    <hyperlink ref="D34" r:id="rId65" xr:uid="{00000000-0004-0000-0000-000040000000}"/>
    <hyperlink ref="F34" r:id="rId66" xr:uid="{00000000-0004-0000-0000-000041000000}"/>
    <hyperlink ref="D35" r:id="rId67" xr:uid="{00000000-0004-0000-0000-000042000000}"/>
    <hyperlink ref="F35" r:id="rId68" xr:uid="{00000000-0004-0000-0000-000043000000}"/>
    <hyperlink ref="D36" r:id="rId69" xr:uid="{00000000-0004-0000-0000-000044000000}"/>
    <hyperlink ref="F36" r:id="rId70" xr:uid="{00000000-0004-0000-0000-000045000000}"/>
    <hyperlink ref="D37" r:id="rId71" xr:uid="{00000000-0004-0000-0000-000046000000}"/>
    <hyperlink ref="F37" r:id="rId72" xr:uid="{00000000-0004-0000-0000-000047000000}"/>
    <hyperlink ref="D38" r:id="rId73" xr:uid="{00000000-0004-0000-0000-000048000000}"/>
    <hyperlink ref="F38" r:id="rId74" xr:uid="{00000000-0004-0000-0000-000049000000}"/>
    <hyperlink ref="D39" r:id="rId75" xr:uid="{00000000-0004-0000-0000-00004A000000}"/>
    <hyperlink ref="F39" r:id="rId76" xr:uid="{00000000-0004-0000-0000-00004B000000}"/>
    <hyperlink ref="D40" r:id="rId77" xr:uid="{00000000-0004-0000-0000-00004C000000}"/>
    <hyperlink ref="F40" r:id="rId78" xr:uid="{00000000-0004-0000-0000-00004D000000}"/>
    <hyperlink ref="D41" r:id="rId79" xr:uid="{00000000-0004-0000-0000-00004E000000}"/>
    <hyperlink ref="F41" r:id="rId80" xr:uid="{00000000-0004-0000-0000-00004F000000}"/>
    <hyperlink ref="D42" r:id="rId81" xr:uid="{00000000-0004-0000-0000-000050000000}"/>
    <hyperlink ref="F42" r:id="rId82" xr:uid="{00000000-0004-0000-0000-000051000000}"/>
    <hyperlink ref="D43" r:id="rId83" xr:uid="{00000000-0004-0000-0000-000052000000}"/>
    <hyperlink ref="F43" r:id="rId84" xr:uid="{00000000-0004-0000-0000-000053000000}"/>
    <hyperlink ref="D44" r:id="rId85" xr:uid="{00000000-0004-0000-0000-000054000000}"/>
    <hyperlink ref="F44" r:id="rId86" xr:uid="{00000000-0004-0000-0000-00005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15</v>
      </c>
      <c r="B2" t="s">
        <v>186</v>
      </c>
      <c r="C2" t="s">
        <v>227</v>
      </c>
      <c r="D2" t="s">
        <v>232</v>
      </c>
      <c r="E2" t="s">
        <v>257</v>
      </c>
      <c r="F2" t="s">
        <v>257</v>
      </c>
      <c r="G2" t="s">
        <v>260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15</v>
      </c>
      <c r="B3" t="s">
        <v>186</v>
      </c>
      <c r="C3" t="s">
        <v>227</v>
      </c>
      <c r="D3" t="s">
        <v>232</v>
      </c>
      <c r="E3" t="s">
        <v>258</v>
      </c>
      <c r="F3" t="s">
        <v>258</v>
      </c>
      <c r="G3" t="s">
        <v>261</v>
      </c>
      <c r="H3" t="s">
        <v>264</v>
      </c>
      <c r="J3" s="4" t="b">
        <v>0</v>
      </c>
      <c r="K3" s="4" t="b">
        <v>0</v>
      </c>
      <c r="Q3">
        <v>0</v>
      </c>
    </row>
    <row r="4" spans="1:24" x14ac:dyDescent="0.35">
      <c r="A4" t="s">
        <v>15</v>
      </c>
      <c r="B4" t="s">
        <v>186</v>
      </c>
      <c r="C4" t="s">
        <v>227</v>
      </c>
      <c r="D4" t="s">
        <v>232</v>
      </c>
      <c r="E4" t="s">
        <v>259</v>
      </c>
      <c r="F4" t="s">
        <v>259</v>
      </c>
      <c r="G4" t="s">
        <v>262</v>
      </c>
      <c r="H4" t="s">
        <v>263</v>
      </c>
      <c r="J4" s="4" t="b">
        <v>0</v>
      </c>
      <c r="K4" s="4" t="b">
        <v>0</v>
      </c>
    </row>
  </sheetData>
  <autoFilter ref="A1:X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16</v>
      </c>
      <c r="B2" t="s">
        <v>187</v>
      </c>
      <c r="C2" t="s">
        <v>228</v>
      </c>
      <c r="D2" t="s">
        <v>233</v>
      </c>
      <c r="E2" t="s">
        <v>265</v>
      </c>
      <c r="F2" t="s">
        <v>265</v>
      </c>
      <c r="G2" t="s">
        <v>268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16</v>
      </c>
      <c r="B3" t="s">
        <v>187</v>
      </c>
      <c r="C3" t="s">
        <v>228</v>
      </c>
      <c r="D3" t="s">
        <v>233</v>
      </c>
      <c r="E3" t="s">
        <v>266</v>
      </c>
      <c r="F3" t="s">
        <v>266</v>
      </c>
      <c r="G3" t="s">
        <v>269</v>
      </c>
      <c r="H3" t="s">
        <v>263</v>
      </c>
      <c r="J3" s="4" t="b">
        <v>0</v>
      </c>
      <c r="K3" s="4" t="b">
        <v>0</v>
      </c>
    </row>
    <row r="4" spans="1:24" x14ac:dyDescent="0.35">
      <c r="A4" t="s">
        <v>16</v>
      </c>
      <c r="B4" t="s">
        <v>187</v>
      </c>
      <c r="C4" t="s">
        <v>228</v>
      </c>
      <c r="D4" t="s">
        <v>233</v>
      </c>
      <c r="E4" t="s">
        <v>267</v>
      </c>
      <c r="F4" t="s">
        <v>267</v>
      </c>
      <c r="G4" t="s">
        <v>270</v>
      </c>
      <c r="H4" t="s">
        <v>263</v>
      </c>
      <c r="I4" t="s">
        <v>271</v>
      </c>
      <c r="J4" s="4" t="b">
        <v>0</v>
      </c>
      <c r="K4" s="4" t="b">
        <v>0</v>
      </c>
    </row>
  </sheetData>
  <autoFilter ref="A1:X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17</v>
      </c>
      <c r="B2" t="s">
        <v>188</v>
      </c>
      <c r="C2" t="s">
        <v>227</v>
      </c>
      <c r="D2" t="s">
        <v>232</v>
      </c>
      <c r="E2" t="s">
        <v>272</v>
      </c>
      <c r="F2" t="s">
        <v>272</v>
      </c>
      <c r="G2" t="s">
        <v>276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17</v>
      </c>
      <c r="B3" t="s">
        <v>188</v>
      </c>
      <c r="C3" t="s">
        <v>227</v>
      </c>
      <c r="D3" t="s">
        <v>232</v>
      </c>
      <c r="E3" t="s">
        <v>273</v>
      </c>
      <c r="F3" t="s">
        <v>273</v>
      </c>
      <c r="G3" t="s">
        <v>277</v>
      </c>
      <c r="H3" t="s">
        <v>264</v>
      </c>
      <c r="J3" s="4" t="b">
        <v>0</v>
      </c>
      <c r="K3" s="4" t="b">
        <v>0</v>
      </c>
      <c r="Q3">
        <v>0</v>
      </c>
      <c r="R3">
        <v>360</v>
      </c>
    </row>
    <row r="4" spans="1:24" x14ac:dyDescent="0.35">
      <c r="A4" t="s">
        <v>17</v>
      </c>
      <c r="B4" t="s">
        <v>188</v>
      </c>
      <c r="C4" t="s">
        <v>227</v>
      </c>
      <c r="D4" t="s">
        <v>232</v>
      </c>
      <c r="E4" t="s">
        <v>274</v>
      </c>
      <c r="F4" t="s">
        <v>274</v>
      </c>
      <c r="G4" t="s">
        <v>278</v>
      </c>
      <c r="H4" t="s">
        <v>264</v>
      </c>
      <c r="J4" s="4" t="b">
        <v>0</v>
      </c>
      <c r="K4" s="4" t="b">
        <v>0</v>
      </c>
      <c r="Q4">
        <v>0</v>
      </c>
    </row>
    <row r="5" spans="1:24" x14ac:dyDescent="0.35">
      <c r="A5" t="s">
        <v>17</v>
      </c>
      <c r="B5" t="s">
        <v>188</v>
      </c>
      <c r="C5" t="s">
        <v>227</v>
      </c>
      <c r="D5" t="s">
        <v>232</v>
      </c>
      <c r="E5" t="s">
        <v>275</v>
      </c>
      <c r="F5" t="s">
        <v>275</v>
      </c>
      <c r="G5" t="s">
        <v>279</v>
      </c>
      <c r="H5" t="s">
        <v>263</v>
      </c>
      <c r="J5" s="4" t="b">
        <v>0</v>
      </c>
      <c r="K5" s="4" t="b">
        <v>0</v>
      </c>
    </row>
  </sheetData>
  <autoFilter ref="A1:X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18</v>
      </c>
      <c r="B2" t="s">
        <v>189</v>
      </c>
      <c r="C2" t="s">
        <v>229</v>
      </c>
      <c r="D2" t="s">
        <v>234</v>
      </c>
      <c r="E2" t="s">
        <v>280</v>
      </c>
      <c r="F2" t="s">
        <v>280</v>
      </c>
      <c r="G2" t="s">
        <v>286</v>
      </c>
      <c r="H2" t="s">
        <v>263</v>
      </c>
      <c r="J2" s="4" t="b">
        <v>0</v>
      </c>
      <c r="K2" s="4" t="b">
        <v>0</v>
      </c>
      <c r="M2" s="1" t="s">
        <v>292</v>
      </c>
      <c r="N2" s="1" t="s">
        <v>293</v>
      </c>
    </row>
    <row r="3" spans="1:24" x14ac:dyDescent="0.35">
      <c r="A3" t="s">
        <v>18</v>
      </c>
      <c r="B3" t="s">
        <v>189</v>
      </c>
      <c r="C3" t="s">
        <v>229</v>
      </c>
      <c r="D3" t="s">
        <v>234</v>
      </c>
      <c r="E3" t="s">
        <v>281</v>
      </c>
      <c r="F3" t="s">
        <v>281</v>
      </c>
      <c r="G3" t="s">
        <v>287</v>
      </c>
      <c r="H3" t="s">
        <v>264</v>
      </c>
      <c r="J3" s="4" t="b">
        <v>0</v>
      </c>
      <c r="K3" s="4" t="b">
        <v>0</v>
      </c>
      <c r="Q3">
        <v>0</v>
      </c>
    </row>
    <row r="4" spans="1:24" x14ac:dyDescent="0.35">
      <c r="A4" t="s">
        <v>18</v>
      </c>
      <c r="B4" t="s">
        <v>189</v>
      </c>
      <c r="C4" t="s">
        <v>229</v>
      </c>
      <c r="D4" t="s">
        <v>234</v>
      </c>
      <c r="E4" t="s">
        <v>282</v>
      </c>
      <c r="F4" t="s">
        <v>282</v>
      </c>
      <c r="G4" t="s">
        <v>288</v>
      </c>
      <c r="H4" t="s">
        <v>264</v>
      </c>
      <c r="J4" s="4" t="b">
        <v>0</v>
      </c>
      <c r="K4" s="4" t="b">
        <v>0</v>
      </c>
      <c r="Q4">
        <v>0</v>
      </c>
    </row>
    <row r="5" spans="1:24" x14ac:dyDescent="0.35">
      <c r="A5" t="s">
        <v>18</v>
      </c>
      <c r="B5" t="s">
        <v>189</v>
      </c>
      <c r="C5" t="s">
        <v>229</v>
      </c>
      <c r="D5" t="s">
        <v>234</v>
      </c>
      <c r="E5" t="s">
        <v>283</v>
      </c>
      <c r="F5" t="s">
        <v>283</v>
      </c>
      <c r="G5" t="s">
        <v>289</v>
      </c>
      <c r="H5" t="s">
        <v>264</v>
      </c>
      <c r="J5" s="4" t="b">
        <v>0</v>
      </c>
      <c r="K5" s="4" t="b">
        <v>0</v>
      </c>
      <c r="Q5">
        <v>0</v>
      </c>
    </row>
    <row r="6" spans="1:24" x14ac:dyDescent="0.35">
      <c r="A6" t="s">
        <v>18</v>
      </c>
      <c r="B6" t="s">
        <v>189</v>
      </c>
      <c r="C6" t="s">
        <v>229</v>
      </c>
      <c r="D6" t="s">
        <v>234</v>
      </c>
      <c r="E6" t="s">
        <v>284</v>
      </c>
      <c r="F6" t="s">
        <v>284</v>
      </c>
      <c r="G6" t="s">
        <v>290</v>
      </c>
      <c r="H6" t="s">
        <v>264</v>
      </c>
      <c r="J6" s="4" t="b">
        <v>0</v>
      </c>
      <c r="K6" s="4" t="b">
        <v>0</v>
      </c>
      <c r="Q6">
        <v>0</v>
      </c>
    </row>
    <row r="7" spans="1:24" x14ac:dyDescent="0.35">
      <c r="A7" t="s">
        <v>18</v>
      </c>
      <c r="B7" t="s">
        <v>189</v>
      </c>
      <c r="C7" t="s">
        <v>229</v>
      </c>
      <c r="D7" t="s">
        <v>234</v>
      </c>
      <c r="E7" t="s">
        <v>285</v>
      </c>
      <c r="F7" t="s">
        <v>285</v>
      </c>
      <c r="G7" t="s">
        <v>291</v>
      </c>
      <c r="H7" t="s">
        <v>263</v>
      </c>
      <c r="J7" s="4" t="b">
        <v>0</v>
      </c>
      <c r="K7" s="4" t="b">
        <v>0</v>
      </c>
    </row>
  </sheetData>
  <autoFilter ref="A1:X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188.5" x14ac:dyDescent="0.35">
      <c r="A2" t="s">
        <v>19</v>
      </c>
      <c r="B2" t="s">
        <v>190</v>
      </c>
      <c r="C2" t="s">
        <v>227</v>
      </c>
      <c r="D2" t="s">
        <v>232</v>
      </c>
      <c r="E2" t="s">
        <v>294</v>
      </c>
      <c r="F2" t="s">
        <v>294</v>
      </c>
      <c r="G2" t="s">
        <v>298</v>
      </c>
      <c r="H2" t="s">
        <v>263</v>
      </c>
      <c r="J2" s="4" t="b">
        <v>0</v>
      </c>
      <c r="K2" s="4" t="b">
        <v>0</v>
      </c>
      <c r="M2" s="1" t="s">
        <v>302</v>
      </c>
      <c r="N2" s="1" t="s">
        <v>303</v>
      </c>
    </row>
    <row r="3" spans="1:24" x14ac:dyDescent="0.35">
      <c r="A3" t="s">
        <v>19</v>
      </c>
      <c r="B3" t="s">
        <v>190</v>
      </c>
      <c r="C3" t="s">
        <v>227</v>
      </c>
      <c r="D3" t="s">
        <v>232</v>
      </c>
      <c r="E3" t="s">
        <v>295</v>
      </c>
      <c r="F3" t="s">
        <v>295</v>
      </c>
      <c r="G3" t="s">
        <v>299</v>
      </c>
      <c r="H3" t="s">
        <v>264</v>
      </c>
      <c r="J3" s="4" t="b">
        <v>0</v>
      </c>
      <c r="K3" s="4" t="b">
        <v>0</v>
      </c>
      <c r="Q3">
        <v>0</v>
      </c>
    </row>
    <row r="4" spans="1:24" x14ac:dyDescent="0.35">
      <c r="A4" t="s">
        <v>19</v>
      </c>
      <c r="B4" t="s">
        <v>190</v>
      </c>
      <c r="C4" t="s">
        <v>227</v>
      </c>
      <c r="D4" t="s">
        <v>232</v>
      </c>
      <c r="E4" t="s">
        <v>296</v>
      </c>
      <c r="F4" t="s">
        <v>296</v>
      </c>
      <c r="G4" t="s">
        <v>300</v>
      </c>
      <c r="H4" t="s">
        <v>263</v>
      </c>
      <c r="J4" s="4" t="b">
        <v>0</v>
      </c>
      <c r="K4" s="4" t="b">
        <v>0</v>
      </c>
    </row>
    <row r="5" spans="1:24" x14ac:dyDescent="0.35">
      <c r="A5" t="s">
        <v>19</v>
      </c>
      <c r="B5" t="s">
        <v>190</v>
      </c>
      <c r="C5" t="s">
        <v>227</v>
      </c>
      <c r="D5" t="s">
        <v>232</v>
      </c>
      <c r="E5" t="s">
        <v>297</v>
      </c>
      <c r="F5" t="s">
        <v>297</v>
      </c>
      <c r="G5" t="s">
        <v>301</v>
      </c>
      <c r="H5" t="s">
        <v>264</v>
      </c>
      <c r="J5" s="4" t="b">
        <v>0</v>
      </c>
      <c r="K5" s="4" t="b">
        <v>0</v>
      </c>
      <c r="Q5">
        <v>0</v>
      </c>
    </row>
  </sheetData>
  <autoFilter ref="A1:X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20</v>
      </c>
      <c r="B2" t="s">
        <v>191</v>
      </c>
      <c r="C2" t="s">
        <v>227</v>
      </c>
      <c r="D2" t="s">
        <v>232</v>
      </c>
      <c r="E2" t="s">
        <v>304</v>
      </c>
      <c r="F2" t="s">
        <v>304</v>
      </c>
      <c r="G2" t="s">
        <v>314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20</v>
      </c>
      <c r="B3" t="s">
        <v>191</v>
      </c>
      <c r="C3" t="s">
        <v>227</v>
      </c>
      <c r="D3" t="s">
        <v>232</v>
      </c>
      <c r="E3" t="s">
        <v>305</v>
      </c>
      <c r="F3" t="s">
        <v>305</v>
      </c>
      <c r="G3" t="s">
        <v>315</v>
      </c>
      <c r="H3" t="s">
        <v>264</v>
      </c>
      <c r="J3" s="4" t="b">
        <v>0</v>
      </c>
      <c r="K3" s="4" t="b">
        <v>0</v>
      </c>
      <c r="Q3">
        <v>0</v>
      </c>
    </row>
    <row r="4" spans="1:24" x14ac:dyDescent="0.35">
      <c r="A4" t="s">
        <v>20</v>
      </c>
      <c r="B4" t="s">
        <v>191</v>
      </c>
      <c r="C4" t="s">
        <v>227</v>
      </c>
      <c r="D4" t="s">
        <v>232</v>
      </c>
      <c r="E4" t="s">
        <v>306</v>
      </c>
      <c r="F4" t="s">
        <v>306</v>
      </c>
      <c r="G4" t="s">
        <v>316</v>
      </c>
      <c r="H4" t="s">
        <v>263</v>
      </c>
      <c r="J4" s="4" t="b">
        <v>0</v>
      </c>
      <c r="K4" s="4" t="b">
        <v>0</v>
      </c>
    </row>
    <row r="5" spans="1:24" x14ac:dyDescent="0.35">
      <c r="A5" t="s">
        <v>20</v>
      </c>
      <c r="B5" t="s">
        <v>191</v>
      </c>
      <c r="C5" t="s">
        <v>227</v>
      </c>
      <c r="D5" t="s">
        <v>232</v>
      </c>
      <c r="E5" t="s">
        <v>307</v>
      </c>
      <c r="F5" t="s">
        <v>307</v>
      </c>
      <c r="G5" t="s">
        <v>317</v>
      </c>
      <c r="H5" t="s">
        <v>263</v>
      </c>
      <c r="J5" s="4" t="b">
        <v>0</v>
      </c>
      <c r="K5" s="4" t="b">
        <v>0</v>
      </c>
    </row>
    <row r="6" spans="1:24" ht="377" x14ac:dyDescent="0.35">
      <c r="A6" t="s">
        <v>20</v>
      </c>
      <c r="B6" t="s">
        <v>191</v>
      </c>
      <c r="C6" t="s">
        <v>227</v>
      </c>
      <c r="D6" t="s">
        <v>232</v>
      </c>
      <c r="E6" t="s">
        <v>308</v>
      </c>
      <c r="F6" t="s">
        <v>308</v>
      </c>
      <c r="G6" t="s">
        <v>318</v>
      </c>
      <c r="H6" t="s">
        <v>263</v>
      </c>
      <c r="J6" s="4" t="b">
        <v>0</v>
      </c>
      <c r="K6" s="4" t="b">
        <v>0</v>
      </c>
      <c r="M6" s="1" t="s">
        <v>324</v>
      </c>
      <c r="N6" s="1" t="s">
        <v>326</v>
      </c>
    </row>
    <row r="7" spans="1:24" ht="261" x14ac:dyDescent="0.35">
      <c r="A7" t="s">
        <v>20</v>
      </c>
      <c r="B7" t="s">
        <v>191</v>
      </c>
      <c r="C7" t="s">
        <v>227</v>
      </c>
      <c r="D7" t="s">
        <v>232</v>
      </c>
      <c r="E7" t="s">
        <v>309</v>
      </c>
      <c r="F7" t="s">
        <v>309</v>
      </c>
      <c r="G7" t="s">
        <v>319</v>
      </c>
      <c r="H7" t="s">
        <v>263</v>
      </c>
      <c r="J7" s="4" t="b">
        <v>0</v>
      </c>
      <c r="K7" s="4" t="b">
        <v>0</v>
      </c>
      <c r="M7" s="1" t="s">
        <v>325</v>
      </c>
      <c r="N7" s="1" t="s">
        <v>327</v>
      </c>
    </row>
    <row r="8" spans="1:24" x14ac:dyDescent="0.35">
      <c r="A8" t="s">
        <v>20</v>
      </c>
      <c r="B8" t="s">
        <v>191</v>
      </c>
      <c r="C8" t="s">
        <v>227</v>
      </c>
      <c r="D8" t="s">
        <v>232</v>
      </c>
      <c r="E8" t="s">
        <v>310</v>
      </c>
      <c r="F8" t="s">
        <v>310</v>
      </c>
      <c r="G8" t="s">
        <v>320</v>
      </c>
      <c r="H8" t="s">
        <v>263</v>
      </c>
      <c r="J8" s="4" t="b">
        <v>0</v>
      </c>
      <c r="K8" s="4" t="b">
        <v>0</v>
      </c>
    </row>
    <row r="9" spans="1:24" x14ac:dyDescent="0.35">
      <c r="A9" t="s">
        <v>20</v>
      </c>
      <c r="B9" t="s">
        <v>191</v>
      </c>
      <c r="C9" t="s">
        <v>227</v>
      </c>
      <c r="D9" t="s">
        <v>232</v>
      </c>
      <c r="E9" t="s">
        <v>311</v>
      </c>
      <c r="F9" t="s">
        <v>311</v>
      </c>
      <c r="G9" t="s">
        <v>321</v>
      </c>
      <c r="H9" t="s">
        <v>263</v>
      </c>
      <c r="J9" s="4" t="b">
        <v>0</v>
      </c>
      <c r="K9" s="4" t="b">
        <v>0</v>
      </c>
    </row>
    <row r="10" spans="1:24" x14ac:dyDescent="0.35">
      <c r="A10" t="s">
        <v>20</v>
      </c>
      <c r="B10" t="s">
        <v>191</v>
      </c>
      <c r="C10" t="s">
        <v>227</v>
      </c>
      <c r="D10" t="s">
        <v>232</v>
      </c>
      <c r="E10" t="s">
        <v>312</v>
      </c>
      <c r="F10" t="s">
        <v>312</v>
      </c>
      <c r="G10" t="s">
        <v>322</v>
      </c>
      <c r="H10" t="s">
        <v>263</v>
      </c>
      <c r="J10" s="4" t="b">
        <v>0</v>
      </c>
      <c r="K10" s="4" t="b">
        <v>0</v>
      </c>
    </row>
    <row r="11" spans="1:24" x14ac:dyDescent="0.35">
      <c r="A11" t="s">
        <v>20</v>
      </c>
      <c r="B11" t="s">
        <v>191</v>
      </c>
      <c r="C11" t="s">
        <v>227</v>
      </c>
      <c r="D11" t="s">
        <v>232</v>
      </c>
      <c r="E11" t="s">
        <v>313</v>
      </c>
      <c r="F11" t="s">
        <v>313</v>
      </c>
      <c r="G11" t="s">
        <v>323</v>
      </c>
      <c r="H11" t="s">
        <v>263</v>
      </c>
      <c r="J11" s="4" t="b">
        <v>0</v>
      </c>
      <c r="K11" s="4" t="b">
        <v>0</v>
      </c>
    </row>
  </sheetData>
  <autoFilter ref="A1:X1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21</v>
      </c>
      <c r="B2" t="s">
        <v>192</v>
      </c>
      <c r="C2" t="s">
        <v>227</v>
      </c>
      <c r="D2" t="s">
        <v>232</v>
      </c>
      <c r="E2" t="s">
        <v>328</v>
      </c>
      <c r="F2" t="s">
        <v>328</v>
      </c>
      <c r="G2" t="s">
        <v>331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21</v>
      </c>
      <c r="B3" t="s">
        <v>192</v>
      </c>
      <c r="C3" t="s">
        <v>227</v>
      </c>
      <c r="D3" t="s">
        <v>232</v>
      </c>
      <c r="E3" t="s">
        <v>329</v>
      </c>
      <c r="F3" t="s">
        <v>329</v>
      </c>
      <c r="G3" t="s">
        <v>332</v>
      </c>
      <c r="H3" t="s">
        <v>263</v>
      </c>
      <c r="J3" s="4" t="b">
        <v>0</v>
      </c>
      <c r="K3" s="4" t="b">
        <v>0</v>
      </c>
    </row>
    <row r="4" spans="1:24" x14ac:dyDescent="0.35">
      <c r="A4" t="s">
        <v>21</v>
      </c>
      <c r="B4" t="s">
        <v>192</v>
      </c>
      <c r="C4" t="s">
        <v>227</v>
      </c>
      <c r="D4" t="s">
        <v>232</v>
      </c>
      <c r="E4" t="s">
        <v>330</v>
      </c>
      <c r="F4" t="s">
        <v>330</v>
      </c>
      <c r="G4" t="s">
        <v>333</v>
      </c>
      <c r="H4" t="s">
        <v>263</v>
      </c>
      <c r="J4" s="4" t="b">
        <v>0</v>
      </c>
      <c r="K4" s="4" t="b">
        <v>0</v>
      </c>
    </row>
  </sheetData>
  <autoFilter ref="A1:X4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406" x14ac:dyDescent="0.35">
      <c r="A2" t="s">
        <v>22</v>
      </c>
      <c r="B2" t="s">
        <v>193</v>
      </c>
      <c r="C2" t="s">
        <v>227</v>
      </c>
      <c r="D2" t="s">
        <v>232</v>
      </c>
      <c r="E2" t="s">
        <v>334</v>
      </c>
      <c r="F2" t="s">
        <v>334</v>
      </c>
      <c r="G2" t="s">
        <v>340</v>
      </c>
      <c r="H2" t="s">
        <v>263</v>
      </c>
      <c r="J2" s="4" t="b">
        <v>0</v>
      </c>
      <c r="K2" s="4" t="b">
        <v>0</v>
      </c>
      <c r="M2" s="1" t="s">
        <v>346</v>
      </c>
      <c r="N2" s="1" t="s">
        <v>352</v>
      </c>
    </row>
    <row r="3" spans="1:24" ht="43.5" x14ac:dyDescent="0.35">
      <c r="A3" t="s">
        <v>22</v>
      </c>
      <c r="B3" t="s">
        <v>193</v>
      </c>
      <c r="C3" t="s">
        <v>227</v>
      </c>
      <c r="D3" t="s">
        <v>232</v>
      </c>
      <c r="E3" t="s">
        <v>335</v>
      </c>
      <c r="F3" t="s">
        <v>335</v>
      </c>
      <c r="G3" t="s">
        <v>341</v>
      </c>
      <c r="H3" t="s">
        <v>263</v>
      </c>
      <c r="J3" s="4" t="b">
        <v>0</v>
      </c>
      <c r="K3" s="4" t="b">
        <v>0</v>
      </c>
      <c r="M3" s="1" t="s">
        <v>347</v>
      </c>
      <c r="N3" s="1" t="s">
        <v>353</v>
      </c>
    </row>
    <row r="4" spans="1:24" ht="58" x14ac:dyDescent="0.35">
      <c r="A4" t="s">
        <v>22</v>
      </c>
      <c r="B4" t="s">
        <v>193</v>
      </c>
      <c r="C4" t="s">
        <v>227</v>
      </c>
      <c r="D4" t="s">
        <v>232</v>
      </c>
      <c r="E4" t="s">
        <v>336</v>
      </c>
      <c r="F4" t="s">
        <v>336</v>
      </c>
      <c r="G4" t="s">
        <v>342</v>
      </c>
      <c r="H4" t="s">
        <v>263</v>
      </c>
      <c r="J4" s="4" t="b">
        <v>0</v>
      </c>
      <c r="K4" s="4" t="b">
        <v>0</v>
      </c>
      <c r="M4" s="1" t="s">
        <v>348</v>
      </c>
      <c r="N4" s="1" t="s">
        <v>354</v>
      </c>
    </row>
    <row r="5" spans="1:24" ht="101.5" x14ac:dyDescent="0.35">
      <c r="A5" t="s">
        <v>22</v>
      </c>
      <c r="B5" t="s">
        <v>193</v>
      </c>
      <c r="C5" t="s">
        <v>227</v>
      </c>
      <c r="D5" t="s">
        <v>232</v>
      </c>
      <c r="E5" t="s">
        <v>337</v>
      </c>
      <c r="F5" t="s">
        <v>337</v>
      </c>
      <c r="G5" t="s">
        <v>343</v>
      </c>
      <c r="H5" t="s">
        <v>263</v>
      </c>
      <c r="J5" s="4" t="b">
        <v>0</v>
      </c>
      <c r="K5" s="4" t="b">
        <v>0</v>
      </c>
      <c r="M5" s="1" t="s">
        <v>349</v>
      </c>
      <c r="N5" s="1" t="s">
        <v>355</v>
      </c>
    </row>
    <row r="6" spans="1:24" ht="43.5" x14ac:dyDescent="0.35">
      <c r="A6" t="s">
        <v>22</v>
      </c>
      <c r="B6" t="s">
        <v>193</v>
      </c>
      <c r="C6" t="s">
        <v>227</v>
      </c>
      <c r="D6" t="s">
        <v>232</v>
      </c>
      <c r="E6" t="s">
        <v>338</v>
      </c>
      <c r="F6" t="s">
        <v>338</v>
      </c>
      <c r="G6" t="s">
        <v>344</v>
      </c>
      <c r="H6" t="s">
        <v>263</v>
      </c>
      <c r="J6" s="4" t="b">
        <v>0</v>
      </c>
      <c r="K6" s="4" t="b">
        <v>0</v>
      </c>
      <c r="M6" s="1" t="s">
        <v>350</v>
      </c>
      <c r="N6" s="1" t="s">
        <v>356</v>
      </c>
    </row>
    <row r="7" spans="1:24" ht="232" x14ac:dyDescent="0.35">
      <c r="A7" t="s">
        <v>22</v>
      </c>
      <c r="B7" t="s">
        <v>193</v>
      </c>
      <c r="C7" t="s">
        <v>227</v>
      </c>
      <c r="D7" t="s">
        <v>232</v>
      </c>
      <c r="E7" t="s">
        <v>339</v>
      </c>
      <c r="F7" t="s">
        <v>339</v>
      </c>
      <c r="G7" t="s">
        <v>345</v>
      </c>
      <c r="H7" t="s">
        <v>263</v>
      </c>
      <c r="J7" s="4" t="b">
        <v>0</v>
      </c>
      <c r="K7" s="4" t="b">
        <v>0</v>
      </c>
      <c r="M7" s="1" t="s">
        <v>351</v>
      </c>
      <c r="N7" s="1" t="s">
        <v>357</v>
      </c>
    </row>
  </sheetData>
  <autoFilter ref="A1:X7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58" x14ac:dyDescent="0.35">
      <c r="A2" t="s">
        <v>23</v>
      </c>
      <c r="B2" t="s">
        <v>194</v>
      </c>
      <c r="C2" t="s">
        <v>227</v>
      </c>
      <c r="D2" t="s">
        <v>232</v>
      </c>
      <c r="E2" t="s">
        <v>358</v>
      </c>
      <c r="F2" t="s">
        <v>358</v>
      </c>
      <c r="G2" t="s">
        <v>362</v>
      </c>
      <c r="H2" t="s">
        <v>263</v>
      </c>
      <c r="J2" s="4" t="b">
        <v>0</v>
      </c>
      <c r="K2" s="4" t="b">
        <v>0</v>
      </c>
      <c r="M2" s="1" t="s">
        <v>366</v>
      </c>
      <c r="N2" s="1" t="s">
        <v>367</v>
      </c>
    </row>
    <row r="3" spans="1:24" x14ac:dyDescent="0.35">
      <c r="A3" t="s">
        <v>23</v>
      </c>
      <c r="B3" t="s">
        <v>194</v>
      </c>
      <c r="C3" t="s">
        <v>227</v>
      </c>
      <c r="D3" t="s">
        <v>232</v>
      </c>
      <c r="E3" t="s">
        <v>359</v>
      </c>
      <c r="F3" t="s">
        <v>359</v>
      </c>
      <c r="G3" t="s">
        <v>363</v>
      </c>
      <c r="H3" t="s">
        <v>264</v>
      </c>
      <c r="J3" s="4" t="b">
        <v>0</v>
      </c>
      <c r="K3" s="4" t="b">
        <v>0</v>
      </c>
      <c r="Q3">
        <v>0</v>
      </c>
    </row>
    <row r="4" spans="1:24" x14ac:dyDescent="0.35">
      <c r="A4" t="s">
        <v>23</v>
      </c>
      <c r="B4" t="s">
        <v>194</v>
      </c>
      <c r="C4" t="s">
        <v>227</v>
      </c>
      <c r="D4" t="s">
        <v>232</v>
      </c>
      <c r="E4" t="s">
        <v>360</v>
      </c>
      <c r="F4" t="s">
        <v>360</v>
      </c>
      <c r="G4" t="s">
        <v>364</v>
      </c>
      <c r="H4" t="s">
        <v>264</v>
      </c>
      <c r="J4" s="4" t="b">
        <v>0</v>
      </c>
      <c r="K4" s="4" t="b">
        <v>0</v>
      </c>
    </row>
    <row r="5" spans="1:24" x14ac:dyDescent="0.35">
      <c r="A5" t="s">
        <v>23</v>
      </c>
      <c r="B5" t="s">
        <v>194</v>
      </c>
      <c r="C5" t="s">
        <v>227</v>
      </c>
      <c r="D5" t="s">
        <v>232</v>
      </c>
      <c r="E5" t="s">
        <v>361</v>
      </c>
      <c r="F5" t="s">
        <v>361</v>
      </c>
      <c r="G5" t="s">
        <v>365</v>
      </c>
      <c r="H5" t="s">
        <v>263</v>
      </c>
      <c r="J5" s="4" t="b">
        <v>0</v>
      </c>
      <c r="K5" s="4" t="b">
        <v>0</v>
      </c>
    </row>
  </sheetData>
  <autoFilter ref="A1:X5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24</v>
      </c>
      <c r="B2" t="s">
        <v>195</v>
      </c>
      <c r="C2" t="s">
        <v>227</v>
      </c>
      <c r="D2" t="s">
        <v>232</v>
      </c>
      <c r="E2" t="s">
        <v>368</v>
      </c>
      <c r="F2" t="s">
        <v>368</v>
      </c>
      <c r="G2" t="s">
        <v>377</v>
      </c>
      <c r="H2" t="s">
        <v>264</v>
      </c>
      <c r="J2" s="4" t="b">
        <v>0</v>
      </c>
      <c r="K2" s="4" t="b">
        <v>0</v>
      </c>
      <c r="Q2">
        <v>0</v>
      </c>
    </row>
    <row r="3" spans="1:24" ht="29" x14ac:dyDescent="0.35">
      <c r="A3" t="s">
        <v>24</v>
      </c>
      <c r="B3" t="s">
        <v>195</v>
      </c>
      <c r="C3" t="s">
        <v>227</v>
      </c>
      <c r="D3" t="s">
        <v>232</v>
      </c>
      <c r="E3" t="s">
        <v>369</v>
      </c>
      <c r="F3" t="s">
        <v>369</v>
      </c>
      <c r="G3" t="s">
        <v>378</v>
      </c>
      <c r="H3" t="s">
        <v>263</v>
      </c>
      <c r="J3" s="4" t="b">
        <v>0</v>
      </c>
      <c r="K3" s="4" t="b">
        <v>0</v>
      </c>
      <c r="M3" s="1" t="s">
        <v>386</v>
      </c>
      <c r="N3" s="1" t="s">
        <v>388</v>
      </c>
    </row>
    <row r="4" spans="1:24" ht="87" x14ac:dyDescent="0.35">
      <c r="A4" t="s">
        <v>24</v>
      </c>
      <c r="B4" t="s">
        <v>195</v>
      </c>
      <c r="C4" t="s">
        <v>227</v>
      </c>
      <c r="D4" t="s">
        <v>232</v>
      </c>
      <c r="E4" t="s">
        <v>370</v>
      </c>
      <c r="F4" t="s">
        <v>370</v>
      </c>
      <c r="G4" t="s">
        <v>379</v>
      </c>
      <c r="H4" t="s">
        <v>263</v>
      </c>
      <c r="J4" s="4" t="b">
        <v>0</v>
      </c>
      <c r="K4" s="4" t="b">
        <v>0</v>
      </c>
      <c r="M4" s="1" t="s">
        <v>387</v>
      </c>
      <c r="N4" s="1" t="s">
        <v>389</v>
      </c>
    </row>
    <row r="5" spans="1:24" x14ac:dyDescent="0.35">
      <c r="A5" t="s">
        <v>24</v>
      </c>
      <c r="B5" t="s">
        <v>195</v>
      </c>
      <c r="C5" t="s">
        <v>227</v>
      </c>
      <c r="D5" t="s">
        <v>232</v>
      </c>
      <c r="E5" t="s">
        <v>371</v>
      </c>
      <c r="F5" t="s">
        <v>371</v>
      </c>
      <c r="G5" t="s">
        <v>380</v>
      </c>
      <c r="H5" t="s">
        <v>263</v>
      </c>
      <c r="J5" s="4" t="b">
        <v>0</v>
      </c>
      <c r="K5" s="4" t="b">
        <v>0</v>
      </c>
    </row>
    <row r="6" spans="1:24" x14ac:dyDescent="0.35">
      <c r="A6" t="s">
        <v>24</v>
      </c>
      <c r="B6" t="s">
        <v>195</v>
      </c>
      <c r="C6" t="s">
        <v>227</v>
      </c>
      <c r="D6" t="s">
        <v>232</v>
      </c>
      <c r="E6" t="s">
        <v>372</v>
      </c>
      <c r="F6" t="s">
        <v>372</v>
      </c>
      <c r="G6" t="s">
        <v>381</v>
      </c>
      <c r="H6" t="s">
        <v>264</v>
      </c>
      <c r="J6" s="4" t="b">
        <v>0</v>
      </c>
      <c r="K6" s="4" t="b">
        <v>0</v>
      </c>
    </row>
    <row r="7" spans="1:24" x14ac:dyDescent="0.35">
      <c r="A7" t="s">
        <v>24</v>
      </c>
      <c r="B7" t="s">
        <v>195</v>
      </c>
      <c r="C7" t="s">
        <v>227</v>
      </c>
      <c r="D7" t="s">
        <v>232</v>
      </c>
      <c r="E7" t="s">
        <v>373</v>
      </c>
      <c r="F7" t="s">
        <v>373</v>
      </c>
      <c r="G7" t="s">
        <v>382</v>
      </c>
      <c r="H7" t="s">
        <v>264</v>
      </c>
      <c r="J7" s="4" t="b">
        <v>0</v>
      </c>
      <c r="K7" s="4" t="b">
        <v>0</v>
      </c>
    </row>
    <row r="8" spans="1:24" x14ac:dyDescent="0.35">
      <c r="A8" t="s">
        <v>24</v>
      </c>
      <c r="B8" t="s">
        <v>195</v>
      </c>
      <c r="C8" t="s">
        <v>227</v>
      </c>
      <c r="D8" t="s">
        <v>232</v>
      </c>
      <c r="E8" t="s">
        <v>374</v>
      </c>
      <c r="F8" t="s">
        <v>374</v>
      </c>
      <c r="G8" t="s">
        <v>383</v>
      </c>
      <c r="H8" t="s">
        <v>264</v>
      </c>
      <c r="J8" s="4" t="b">
        <v>0</v>
      </c>
      <c r="K8" s="4" t="b">
        <v>0</v>
      </c>
    </row>
    <row r="9" spans="1:24" x14ac:dyDescent="0.35">
      <c r="A9" t="s">
        <v>24</v>
      </c>
      <c r="B9" t="s">
        <v>195</v>
      </c>
      <c r="C9" t="s">
        <v>227</v>
      </c>
      <c r="D9" t="s">
        <v>232</v>
      </c>
      <c r="E9" t="s">
        <v>375</v>
      </c>
      <c r="F9" t="s">
        <v>375</v>
      </c>
      <c r="G9" t="s">
        <v>384</v>
      </c>
      <c r="H9" t="s">
        <v>263</v>
      </c>
      <c r="J9" s="4" t="b">
        <v>0</v>
      </c>
      <c r="K9" s="4" t="b">
        <v>0</v>
      </c>
    </row>
    <row r="10" spans="1:24" x14ac:dyDescent="0.35">
      <c r="A10" t="s">
        <v>24</v>
      </c>
      <c r="B10" t="s">
        <v>195</v>
      </c>
      <c r="C10" t="s">
        <v>227</v>
      </c>
      <c r="D10" t="s">
        <v>232</v>
      </c>
      <c r="E10" t="s">
        <v>376</v>
      </c>
      <c r="F10" t="s">
        <v>376</v>
      </c>
      <c r="G10" t="s">
        <v>385</v>
      </c>
      <c r="H10" t="s">
        <v>264</v>
      </c>
      <c r="J10" s="4" t="b">
        <v>0</v>
      </c>
      <c r="K10" s="4" t="b">
        <v>0</v>
      </c>
    </row>
  </sheetData>
  <autoFilter ref="A1:X10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25</v>
      </c>
      <c r="B2" t="s">
        <v>68</v>
      </c>
      <c r="C2" t="s">
        <v>227</v>
      </c>
      <c r="D2" t="s">
        <v>232</v>
      </c>
      <c r="E2" t="s">
        <v>390</v>
      </c>
      <c r="F2" t="s">
        <v>390</v>
      </c>
      <c r="G2" t="s">
        <v>392</v>
      </c>
      <c r="H2" t="s">
        <v>264</v>
      </c>
      <c r="J2" s="4" t="b">
        <v>0</v>
      </c>
      <c r="K2" s="4" t="b">
        <v>0</v>
      </c>
    </row>
    <row r="3" spans="1:24" x14ac:dyDescent="0.35">
      <c r="A3" t="s">
        <v>25</v>
      </c>
      <c r="B3" t="s">
        <v>68</v>
      </c>
      <c r="C3" t="s">
        <v>227</v>
      </c>
      <c r="D3" t="s">
        <v>232</v>
      </c>
      <c r="E3" t="s">
        <v>391</v>
      </c>
      <c r="F3" t="s">
        <v>391</v>
      </c>
      <c r="G3" t="s">
        <v>393</v>
      </c>
      <c r="H3" t="s">
        <v>264</v>
      </c>
      <c r="J3" s="4" t="b">
        <v>0</v>
      </c>
      <c r="K3" s="4" t="b">
        <v>0</v>
      </c>
    </row>
  </sheetData>
  <autoFilter ref="A1:X3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26</v>
      </c>
      <c r="B2" t="s">
        <v>196</v>
      </c>
      <c r="C2" t="s">
        <v>229</v>
      </c>
      <c r="D2" t="s">
        <v>234</v>
      </c>
      <c r="E2" t="s">
        <v>394</v>
      </c>
      <c r="F2" t="s">
        <v>394</v>
      </c>
      <c r="G2" t="s">
        <v>398</v>
      </c>
      <c r="H2" t="s">
        <v>263</v>
      </c>
      <c r="J2" s="4" t="b">
        <v>0</v>
      </c>
      <c r="K2" s="4" t="b">
        <v>0</v>
      </c>
      <c r="N2" s="1" t="s">
        <v>404</v>
      </c>
    </row>
    <row r="3" spans="1:24" x14ac:dyDescent="0.35">
      <c r="A3" t="s">
        <v>26</v>
      </c>
      <c r="B3" t="s">
        <v>196</v>
      </c>
      <c r="C3" t="s">
        <v>229</v>
      </c>
      <c r="D3" t="s">
        <v>234</v>
      </c>
      <c r="E3" t="s">
        <v>395</v>
      </c>
      <c r="F3" t="s">
        <v>395</v>
      </c>
      <c r="G3" t="s">
        <v>399</v>
      </c>
      <c r="H3" t="s">
        <v>264</v>
      </c>
      <c r="J3" s="4" t="b">
        <v>0</v>
      </c>
      <c r="K3" s="4" t="b">
        <v>0</v>
      </c>
      <c r="Q3">
        <v>0</v>
      </c>
    </row>
    <row r="4" spans="1:24" ht="116" x14ac:dyDescent="0.35">
      <c r="A4" t="s">
        <v>26</v>
      </c>
      <c r="B4" t="s">
        <v>196</v>
      </c>
      <c r="C4" t="s">
        <v>229</v>
      </c>
      <c r="D4" t="s">
        <v>234</v>
      </c>
      <c r="E4" t="s">
        <v>396</v>
      </c>
      <c r="F4" t="s">
        <v>396</v>
      </c>
      <c r="G4" t="s">
        <v>400</v>
      </c>
      <c r="H4" t="s">
        <v>263</v>
      </c>
      <c r="J4" s="4" t="b">
        <v>0</v>
      </c>
      <c r="K4" s="4" t="b">
        <v>0</v>
      </c>
      <c r="M4" s="1" t="s">
        <v>402</v>
      </c>
      <c r="N4" s="1" t="s">
        <v>405</v>
      </c>
    </row>
    <row r="5" spans="1:24" ht="29" x14ac:dyDescent="0.35">
      <c r="A5" t="s">
        <v>26</v>
      </c>
      <c r="B5" t="s">
        <v>196</v>
      </c>
      <c r="C5" t="s">
        <v>229</v>
      </c>
      <c r="D5" t="s">
        <v>234</v>
      </c>
      <c r="E5" t="s">
        <v>397</v>
      </c>
      <c r="F5" t="s">
        <v>397</v>
      </c>
      <c r="G5" t="s">
        <v>401</v>
      </c>
      <c r="H5" t="s">
        <v>263</v>
      </c>
      <c r="J5" s="4" t="b">
        <v>0</v>
      </c>
      <c r="K5" s="4" t="b">
        <v>0</v>
      </c>
      <c r="M5" s="1" t="s">
        <v>403</v>
      </c>
      <c r="N5" s="1" t="s">
        <v>406</v>
      </c>
    </row>
  </sheetData>
  <autoFilter ref="A1:X5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29" x14ac:dyDescent="0.35">
      <c r="A2" t="s">
        <v>27</v>
      </c>
      <c r="B2" t="s">
        <v>197</v>
      </c>
      <c r="C2" t="s">
        <v>230</v>
      </c>
      <c r="D2" t="s">
        <v>235</v>
      </c>
      <c r="E2" t="s">
        <v>407</v>
      </c>
      <c r="F2" t="s">
        <v>407</v>
      </c>
      <c r="G2" t="s">
        <v>410</v>
      </c>
      <c r="H2" t="s">
        <v>263</v>
      </c>
      <c r="J2" s="4" t="b">
        <v>0</v>
      </c>
      <c r="K2" s="4" t="b">
        <v>0</v>
      </c>
      <c r="M2" s="1" t="s">
        <v>413</v>
      </c>
      <c r="N2" s="1" t="s">
        <v>416</v>
      </c>
    </row>
    <row r="3" spans="1:24" ht="87" x14ac:dyDescent="0.35">
      <c r="A3" t="s">
        <v>27</v>
      </c>
      <c r="B3" t="s">
        <v>197</v>
      </c>
      <c r="C3" t="s">
        <v>230</v>
      </c>
      <c r="D3" t="s">
        <v>235</v>
      </c>
      <c r="E3" t="s">
        <v>408</v>
      </c>
      <c r="F3" t="s">
        <v>408</v>
      </c>
      <c r="G3" t="s">
        <v>411</v>
      </c>
      <c r="H3" t="s">
        <v>263</v>
      </c>
      <c r="J3" s="4" t="b">
        <v>0</v>
      </c>
      <c r="K3" s="4" t="b">
        <v>0</v>
      </c>
      <c r="M3" s="1" t="s">
        <v>414</v>
      </c>
      <c r="N3" s="1" t="s">
        <v>417</v>
      </c>
    </row>
    <row r="4" spans="1:24" ht="116" x14ac:dyDescent="0.35">
      <c r="A4" t="s">
        <v>27</v>
      </c>
      <c r="B4" t="s">
        <v>197</v>
      </c>
      <c r="C4" t="s">
        <v>230</v>
      </c>
      <c r="D4" t="s">
        <v>235</v>
      </c>
      <c r="E4" t="s">
        <v>409</v>
      </c>
      <c r="F4" t="s">
        <v>409</v>
      </c>
      <c r="G4" t="s">
        <v>412</v>
      </c>
      <c r="H4" t="s">
        <v>263</v>
      </c>
      <c r="J4" s="4" t="b">
        <v>0</v>
      </c>
      <c r="K4" s="4" t="b">
        <v>0</v>
      </c>
      <c r="M4" s="1" t="s">
        <v>415</v>
      </c>
      <c r="N4" s="1" t="s">
        <v>418</v>
      </c>
    </row>
  </sheetData>
  <autoFilter ref="A1:X4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28</v>
      </c>
      <c r="B2" t="s">
        <v>198</v>
      </c>
      <c r="C2" t="s">
        <v>228</v>
      </c>
      <c r="D2" t="s">
        <v>233</v>
      </c>
      <c r="E2" t="s">
        <v>419</v>
      </c>
      <c r="F2" t="s">
        <v>419</v>
      </c>
      <c r="G2" t="s">
        <v>426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28</v>
      </c>
      <c r="B3" t="s">
        <v>198</v>
      </c>
      <c r="C3" t="s">
        <v>228</v>
      </c>
      <c r="D3" t="s">
        <v>233</v>
      </c>
      <c r="E3" t="s">
        <v>420</v>
      </c>
      <c r="F3" t="s">
        <v>420</v>
      </c>
      <c r="G3" t="s">
        <v>427</v>
      </c>
      <c r="H3" t="s">
        <v>264</v>
      </c>
      <c r="J3" s="4" t="b">
        <v>0</v>
      </c>
      <c r="K3" s="4" t="b">
        <v>0</v>
      </c>
    </row>
    <row r="4" spans="1:24" x14ac:dyDescent="0.35">
      <c r="A4" t="s">
        <v>28</v>
      </c>
      <c r="B4" t="s">
        <v>198</v>
      </c>
      <c r="C4" t="s">
        <v>228</v>
      </c>
      <c r="D4" t="s">
        <v>233</v>
      </c>
      <c r="E4" t="s">
        <v>421</v>
      </c>
      <c r="F4" t="s">
        <v>421</v>
      </c>
      <c r="G4" t="s">
        <v>428</v>
      </c>
      <c r="H4" t="s">
        <v>264</v>
      </c>
      <c r="J4" s="4" t="b">
        <v>0</v>
      </c>
      <c r="K4" s="4" t="b">
        <v>0</v>
      </c>
    </row>
    <row r="5" spans="1:24" x14ac:dyDescent="0.35">
      <c r="A5" t="s">
        <v>28</v>
      </c>
      <c r="B5" t="s">
        <v>198</v>
      </c>
      <c r="C5" t="s">
        <v>228</v>
      </c>
      <c r="D5" t="s">
        <v>233</v>
      </c>
      <c r="E5" t="s">
        <v>422</v>
      </c>
      <c r="F5" t="s">
        <v>422</v>
      </c>
      <c r="G5" t="s">
        <v>429</v>
      </c>
      <c r="H5" t="s">
        <v>263</v>
      </c>
      <c r="J5" s="4" t="b">
        <v>0</v>
      </c>
      <c r="K5" s="4" t="b">
        <v>0</v>
      </c>
    </row>
    <row r="6" spans="1:24" x14ac:dyDescent="0.35">
      <c r="A6" t="s">
        <v>28</v>
      </c>
      <c r="B6" t="s">
        <v>198</v>
      </c>
      <c r="C6" t="s">
        <v>228</v>
      </c>
      <c r="D6" t="s">
        <v>233</v>
      </c>
      <c r="E6" t="s">
        <v>423</v>
      </c>
      <c r="F6" t="s">
        <v>423</v>
      </c>
      <c r="G6" t="s">
        <v>365</v>
      </c>
      <c r="H6" t="s">
        <v>263</v>
      </c>
      <c r="J6" s="4" t="b">
        <v>0</v>
      </c>
      <c r="K6" s="4" t="b">
        <v>0</v>
      </c>
    </row>
    <row r="7" spans="1:24" x14ac:dyDescent="0.35">
      <c r="A7" t="s">
        <v>28</v>
      </c>
      <c r="B7" t="s">
        <v>198</v>
      </c>
      <c r="C7" t="s">
        <v>228</v>
      </c>
      <c r="D7" t="s">
        <v>233</v>
      </c>
      <c r="E7" t="s">
        <v>424</v>
      </c>
      <c r="F7" t="s">
        <v>424</v>
      </c>
      <c r="G7" t="s">
        <v>430</v>
      </c>
      <c r="H7" t="s">
        <v>264</v>
      </c>
      <c r="J7" s="4" t="b">
        <v>0</v>
      </c>
      <c r="K7" s="4" t="b">
        <v>0</v>
      </c>
    </row>
    <row r="8" spans="1:24" x14ac:dyDescent="0.35">
      <c r="A8" t="s">
        <v>28</v>
      </c>
      <c r="B8" t="s">
        <v>198</v>
      </c>
      <c r="C8" t="s">
        <v>228</v>
      </c>
      <c r="D8" t="s">
        <v>233</v>
      </c>
      <c r="E8" t="s">
        <v>425</v>
      </c>
      <c r="F8" t="s">
        <v>425</v>
      </c>
      <c r="G8" t="s">
        <v>431</v>
      </c>
      <c r="H8" t="s">
        <v>263</v>
      </c>
      <c r="J8" s="4" t="b">
        <v>0</v>
      </c>
      <c r="K8" s="4" t="b">
        <v>0</v>
      </c>
    </row>
  </sheetData>
  <autoFilter ref="A1:X8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29</v>
      </c>
      <c r="B2" t="s">
        <v>199</v>
      </c>
      <c r="C2" t="s">
        <v>228</v>
      </c>
      <c r="D2" t="s">
        <v>233</v>
      </c>
      <c r="E2" t="s">
        <v>432</v>
      </c>
      <c r="F2" t="s">
        <v>432</v>
      </c>
      <c r="G2" t="s">
        <v>441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29</v>
      </c>
      <c r="B3" t="s">
        <v>199</v>
      </c>
      <c r="C3" t="s">
        <v>228</v>
      </c>
      <c r="D3" t="s">
        <v>233</v>
      </c>
      <c r="E3" t="s">
        <v>433</v>
      </c>
      <c r="F3" t="s">
        <v>433</v>
      </c>
      <c r="G3" t="s">
        <v>442</v>
      </c>
      <c r="H3" t="s">
        <v>264</v>
      </c>
      <c r="J3" s="4" t="b">
        <v>0</v>
      </c>
      <c r="K3" s="4" t="b">
        <v>0</v>
      </c>
    </row>
    <row r="4" spans="1:24" x14ac:dyDescent="0.35">
      <c r="A4" t="s">
        <v>29</v>
      </c>
      <c r="B4" t="s">
        <v>199</v>
      </c>
      <c r="C4" t="s">
        <v>228</v>
      </c>
      <c r="D4" t="s">
        <v>233</v>
      </c>
      <c r="E4" t="s">
        <v>434</v>
      </c>
      <c r="F4" t="s">
        <v>434</v>
      </c>
      <c r="G4" t="s">
        <v>443</v>
      </c>
      <c r="H4" t="s">
        <v>264</v>
      </c>
      <c r="J4" s="4" t="b">
        <v>0</v>
      </c>
      <c r="K4" s="4" t="b">
        <v>0</v>
      </c>
    </row>
    <row r="5" spans="1:24" x14ac:dyDescent="0.35">
      <c r="A5" t="s">
        <v>29</v>
      </c>
      <c r="B5" t="s">
        <v>199</v>
      </c>
      <c r="C5" t="s">
        <v>228</v>
      </c>
      <c r="D5" t="s">
        <v>233</v>
      </c>
      <c r="E5" t="s">
        <v>435</v>
      </c>
      <c r="F5" t="s">
        <v>435</v>
      </c>
      <c r="G5" t="s">
        <v>444</v>
      </c>
      <c r="H5" t="s">
        <v>264</v>
      </c>
      <c r="J5" s="4" t="b">
        <v>0</v>
      </c>
      <c r="K5" s="4" t="b">
        <v>0</v>
      </c>
    </row>
    <row r="6" spans="1:24" x14ac:dyDescent="0.35">
      <c r="A6" t="s">
        <v>29</v>
      </c>
      <c r="B6" t="s">
        <v>199</v>
      </c>
      <c r="C6" t="s">
        <v>228</v>
      </c>
      <c r="D6" t="s">
        <v>233</v>
      </c>
      <c r="E6" t="s">
        <v>436</v>
      </c>
      <c r="F6" t="s">
        <v>436</v>
      </c>
      <c r="G6" t="s">
        <v>445</v>
      </c>
      <c r="H6" t="s">
        <v>264</v>
      </c>
      <c r="J6" s="4" t="b">
        <v>0</v>
      </c>
      <c r="K6" s="4" t="b">
        <v>0</v>
      </c>
    </row>
    <row r="7" spans="1:24" x14ac:dyDescent="0.35">
      <c r="A7" t="s">
        <v>29</v>
      </c>
      <c r="B7" t="s">
        <v>199</v>
      </c>
      <c r="C7" t="s">
        <v>228</v>
      </c>
      <c r="D7" t="s">
        <v>233</v>
      </c>
      <c r="E7" t="s">
        <v>437</v>
      </c>
      <c r="F7" t="s">
        <v>437</v>
      </c>
      <c r="G7" t="s">
        <v>446</v>
      </c>
      <c r="H7" t="s">
        <v>264</v>
      </c>
      <c r="J7" s="4" t="b">
        <v>0</v>
      </c>
      <c r="K7" s="4" t="b">
        <v>0</v>
      </c>
    </row>
    <row r="8" spans="1:24" x14ac:dyDescent="0.35">
      <c r="A8" t="s">
        <v>29</v>
      </c>
      <c r="B8" t="s">
        <v>199</v>
      </c>
      <c r="C8" t="s">
        <v>228</v>
      </c>
      <c r="D8" t="s">
        <v>233</v>
      </c>
      <c r="E8" t="s">
        <v>438</v>
      </c>
      <c r="F8" t="s">
        <v>438</v>
      </c>
      <c r="G8" t="s">
        <v>447</v>
      </c>
      <c r="H8" t="s">
        <v>263</v>
      </c>
      <c r="I8" t="s">
        <v>271</v>
      </c>
      <c r="J8" s="4" t="b">
        <v>0</v>
      </c>
      <c r="K8" s="4" t="b">
        <v>0</v>
      </c>
    </row>
    <row r="9" spans="1:24" x14ac:dyDescent="0.35">
      <c r="A9" t="s">
        <v>29</v>
      </c>
      <c r="B9" t="s">
        <v>199</v>
      </c>
      <c r="C9" t="s">
        <v>228</v>
      </c>
      <c r="D9" t="s">
        <v>233</v>
      </c>
      <c r="E9" t="s">
        <v>439</v>
      </c>
      <c r="F9" t="s">
        <v>439</v>
      </c>
      <c r="G9" t="s">
        <v>448</v>
      </c>
      <c r="H9" t="s">
        <v>263</v>
      </c>
      <c r="J9" s="4" t="b">
        <v>0</v>
      </c>
      <c r="K9" s="4" t="b">
        <v>0</v>
      </c>
    </row>
    <row r="10" spans="1:24" x14ac:dyDescent="0.35">
      <c r="A10" t="s">
        <v>29</v>
      </c>
      <c r="B10" t="s">
        <v>199</v>
      </c>
      <c r="C10" t="s">
        <v>228</v>
      </c>
      <c r="D10" t="s">
        <v>233</v>
      </c>
      <c r="E10" t="s">
        <v>440</v>
      </c>
      <c r="F10" t="s">
        <v>440</v>
      </c>
      <c r="G10" t="s">
        <v>449</v>
      </c>
      <c r="H10" t="s">
        <v>264</v>
      </c>
      <c r="J10" s="4" t="b">
        <v>0</v>
      </c>
      <c r="K10" s="4" t="b">
        <v>0</v>
      </c>
    </row>
  </sheetData>
  <autoFilter ref="A1:X10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30</v>
      </c>
      <c r="B2" t="s">
        <v>200</v>
      </c>
      <c r="C2" t="s">
        <v>228</v>
      </c>
      <c r="D2" t="s">
        <v>233</v>
      </c>
      <c r="E2" t="s">
        <v>432</v>
      </c>
      <c r="F2" t="s">
        <v>432</v>
      </c>
      <c r="G2" t="s">
        <v>441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30</v>
      </c>
      <c r="B3" t="s">
        <v>200</v>
      </c>
      <c r="C3" t="s">
        <v>228</v>
      </c>
      <c r="D3" t="s">
        <v>233</v>
      </c>
      <c r="E3" t="s">
        <v>438</v>
      </c>
      <c r="F3" t="s">
        <v>438</v>
      </c>
      <c r="G3" t="s">
        <v>447</v>
      </c>
      <c r="H3" t="s">
        <v>263</v>
      </c>
      <c r="I3" t="s">
        <v>271</v>
      </c>
      <c r="J3" s="4" t="b">
        <v>0</v>
      </c>
      <c r="K3" s="4" t="b">
        <v>0</v>
      </c>
    </row>
    <row r="4" spans="1:24" x14ac:dyDescent="0.35">
      <c r="A4" t="s">
        <v>30</v>
      </c>
      <c r="B4" t="s">
        <v>200</v>
      </c>
      <c r="C4" t="s">
        <v>228</v>
      </c>
      <c r="D4" t="s">
        <v>233</v>
      </c>
      <c r="E4" t="s">
        <v>439</v>
      </c>
      <c r="F4" t="s">
        <v>439</v>
      </c>
      <c r="G4" t="s">
        <v>448</v>
      </c>
      <c r="H4" t="s">
        <v>264</v>
      </c>
      <c r="J4" s="4" t="b">
        <v>0</v>
      </c>
      <c r="K4" s="4" t="b">
        <v>0</v>
      </c>
    </row>
    <row r="5" spans="1:24" x14ac:dyDescent="0.35">
      <c r="A5" t="s">
        <v>30</v>
      </c>
      <c r="B5" t="s">
        <v>200</v>
      </c>
      <c r="C5" t="s">
        <v>228</v>
      </c>
      <c r="D5" t="s">
        <v>233</v>
      </c>
      <c r="E5" t="s">
        <v>440</v>
      </c>
      <c r="F5" t="s">
        <v>440</v>
      </c>
      <c r="G5" t="s">
        <v>449</v>
      </c>
      <c r="H5" t="s">
        <v>264</v>
      </c>
      <c r="J5" s="4" t="b">
        <v>0</v>
      </c>
      <c r="K5" s="4" t="b">
        <v>0</v>
      </c>
    </row>
  </sheetData>
  <autoFilter ref="A1:X5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116" x14ac:dyDescent="0.35">
      <c r="A2" t="s">
        <v>31</v>
      </c>
      <c r="B2" t="s">
        <v>201</v>
      </c>
      <c r="C2" t="s">
        <v>230</v>
      </c>
      <c r="D2" t="s">
        <v>235</v>
      </c>
      <c r="E2" t="s">
        <v>450</v>
      </c>
      <c r="F2" t="s">
        <v>450</v>
      </c>
      <c r="G2" t="s">
        <v>340</v>
      </c>
      <c r="H2" t="s">
        <v>263</v>
      </c>
      <c r="J2" s="4" t="b">
        <v>0</v>
      </c>
      <c r="K2" s="4" t="b">
        <v>0</v>
      </c>
      <c r="M2" s="1" t="s">
        <v>464</v>
      </c>
      <c r="N2" s="1" t="s">
        <v>468</v>
      </c>
    </row>
    <row r="3" spans="1:24" ht="188.5" x14ac:dyDescent="0.35">
      <c r="A3" t="s">
        <v>31</v>
      </c>
      <c r="B3" t="s">
        <v>201</v>
      </c>
      <c r="C3" t="s">
        <v>230</v>
      </c>
      <c r="D3" t="s">
        <v>235</v>
      </c>
      <c r="E3" t="s">
        <v>451</v>
      </c>
      <c r="F3" t="s">
        <v>451</v>
      </c>
      <c r="G3" t="s">
        <v>458</v>
      </c>
      <c r="H3" t="s">
        <v>263</v>
      </c>
      <c r="J3" s="4" t="b">
        <v>0</v>
      </c>
      <c r="K3" s="4" t="b">
        <v>0</v>
      </c>
      <c r="M3" s="1" t="s">
        <v>465</v>
      </c>
      <c r="N3" s="1" t="s">
        <v>469</v>
      </c>
    </row>
    <row r="4" spans="1:24" ht="116" x14ac:dyDescent="0.35">
      <c r="A4" t="s">
        <v>31</v>
      </c>
      <c r="B4" t="s">
        <v>201</v>
      </c>
      <c r="C4" t="s">
        <v>230</v>
      </c>
      <c r="D4" t="s">
        <v>235</v>
      </c>
      <c r="E4" t="s">
        <v>452</v>
      </c>
      <c r="F4" t="s">
        <v>452</v>
      </c>
      <c r="G4" t="s">
        <v>459</v>
      </c>
      <c r="H4" t="s">
        <v>263</v>
      </c>
      <c r="J4" s="4" t="b">
        <v>0</v>
      </c>
      <c r="K4" s="4" t="b">
        <v>0</v>
      </c>
      <c r="M4" s="1" t="s">
        <v>466</v>
      </c>
      <c r="N4" s="1" t="s">
        <v>470</v>
      </c>
    </row>
    <row r="5" spans="1:24" x14ac:dyDescent="0.35">
      <c r="A5" t="s">
        <v>31</v>
      </c>
      <c r="B5" t="s">
        <v>201</v>
      </c>
      <c r="C5" t="s">
        <v>230</v>
      </c>
      <c r="D5" t="s">
        <v>235</v>
      </c>
      <c r="E5" t="s">
        <v>453</v>
      </c>
      <c r="F5" t="s">
        <v>453</v>
      </c>
      <c r="G5" t="s">
        <v>460</v>
      </c>
      <c r="H5" t="s">
        <v>264</v>
      </c>
      <c r="J5" s="4" t="b">
        <v>0</v>
      </c>
      <c r="K5" s="4" t="b">
        <v>0</v>
      </c>
      <c r="Q5">
        <v>0</v>
      </c>
    </row>
    <row r="6" spans="1:24" ht="29" x14ac:dyDescent="0.35">
      <c r="A6" t="s">
        <v>31</v>
      </c>
      <c r="B6" t="s">
        <v>201</v>
      </c>
      <c r="C6" t="s">
        <v>230</v>
      </c>
      <c r="D6" t="s">
        <v>235</v>
      </c>
      <c r="E6" t="s">
        <v>454</v>
      </c>
      <c r="F6" t="s">
        <v>454</v>
      </c>
      <c r="G6" t="s">
        <v>461</v>
      </c>
      <c r="H6" t="s">
        <v>263</v>
      </c>
      <c r="J6" s="4" t="b">
        <v>0</v>
      </c>
      <c r="K6" s="4" t="b">
        <v>0</v>
      </c>
      <c r="M6" s="1" t="s">
        <v>403</v>
      </c>
      <c r="N6" s="1" t="s">
        <v>406</v>
      </c>
    </row>
    <row r="7" spans="1:24" ht="29" x14ac:dyDescent="0.35">
      <c r="A7" t="s">
        <v>31</v>
      </c>
      <c r="B7" t="s">
        <v>201</v>
      </c>
      <c r="C7" t="s">
        <v>230</v>
      </c>
      <c r="D7" t="s">
        <v>235</v>
      </c>
      <c r="E7" t="s">
        <v>455</v>
      </c>
      <c r="F7" t="s">
        <v>455</v>
      </c>
      <c r="G7" t="s">
        <v>462</v>
      </c>
      <c r="H7" t="s">
        <v>263</v>
      </c>
      <c r="J7" s="4" t="b">
        <v>0</v>
      </c>
      <c r="K7" s="4" t="b">
        <v>0</v>
      </c>
      <c r="M7" s="1" t="s">
        <v>403</v>
      </c>
      <c r="N7" s="1" t="s">
        <v>406</v>
      </c>
    </row>
    <row r="8" spans="1:24" ht="29" x14ac:dyDescent="0.35">
      <c r="A8" t="s">
        <v>31</v>
      </c>
      <c r="B8" t="s">
        <v>201</v>
      </c>
      <c r="C8" t="s">
        <v>230</v>
      </c>
      <c r="D8" t="s">
        <v>235</v>
      </c>
      <c r="E8" t="s">
        <v>456</v>
      </c>
      <c r="F8" t="s">
        <v>456</v>
      </c>
      <c r="G8" t="s">
        <v>463</v>
      </c>
      <c r="H8" t="s">
        <v>263</v>
      </c>
      <c r="J8" s="4" t="b">
        <v>0</v>
      </c>
      <c r="K8" s="4" t="b">
        <v>0</v>
      </c>
      <c r="M8" s="1" t="s">
        <v>403</v>
      </c>
      <c r="N8" s="1" t="s">
        <v>406</v>
      </c>
    </row>
    <row r="9" spans="1:24" ht="58" x14ac:dyDescent="0.35">
      <c r="A9" t="s">
        <v>31</v>
      </c>
      <c r="B9" t="s">
        <v>201</v>
      </c>
      <c r="C9" t="s">
        <v>230</v>
      </c>
      <c r="D9" t="s">
        <v>235</v>
      </c>
      <c r="E9" t="s">
        <v>457</v>
      </c>
      <c r="F9" t="s">
        <v>457</v>
      </c>
      <c r="G9" t="s">
        <v>463</v>
      </c>
      <c r="H9" t="s">
        <v>263</v>
      </c>
      <c r="J9" s="4" t="b">
        <v>0</v>
      </c>
      <c r="K9" s="4" t="b">
        <v>0</v>
      </c>
      <c r="M9" s="1" t="s">
        <v>467</v>
      </c>
      <c r="N9" s="1" t="s">
        <v>471</v>
      </c>
    </row>
  </sheetData>
  <autoFilter ref="A1:X9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32</v>
      </c>
      <c r="B2" t="s">
        <v>202</v>
      </c>
      <c r="C2" t="s">
        <v>228</v>
      </c>
      <c r="D2" t="s">
        <v>233</v>
      </c>
      <c r="E2" t="s">
        <v>423</v>
      </c>
      <c r="F2" t="s">
        <v>423</v>
      </c>
      <c r="G2" t="s">
        <v>365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32</v>
      </c>
      <c r="B3" t="s">
        <v>202</v>
      </c>
      <c r="C3" t="s">
        <v>228</v>
      </c>
      <c r="D3" t="s">
        <v>233</v>
      </c>
      <c r="E3" t="s">
        <v>419</v>
      </c>
      <c r="F3" t="s">
        <v>419</v>
      </c>
      <c r="G3" t="s">
        <v>475</v>
      </c>
      <c r="H3" t="s">
        <v>263</v>
      </c>
      <c r="J3" s="4" t="b">
        <v>0</v>
      </c>
      <c r="K3" s="4" t="b">
        <v>0</v>
      </c>
    </row>
    <row r="4" spans="1:24" x14ac:dyDescent="0.35">
      <c r="A4" t="s">
        <v>32</v>
      </c>
      <c r="B4" t="s">
        <v>202</v>
      </c>
      <c r="C4" t="s">
        <v>228</v>
      </c>
      <c r="D4" t="s">
        <v>233</v>
      </c>
      <c r="E4" t="s">
        <v>472</v>
      </c>
      <c r="F4" t="s">
        <v>472</v>
      </c>
      <c r="G4" t="s">
        <v>476</v>
      </c>
      <c r="H4" t="s">
        <v>264</v>
      </c>
      <c r="J4" s="4" t="b">
        <v>0</v>
      </c>
      <c r="K4" s="4" t="b">
        <v>0</v>
      </c>
    </row>
    <row r="5" spans="1:24" x14ac:dyDescent="0.35">
      <c r="A5" t="s">
        <v>32</v>
      </c>
      <c r="B5" t="s">
        <v>202</v>
      </c>
      <c r="C5" t="s">
        <v>228</v>
      </c>
      <c r="D5" t="s">
        <v>233</v>
      </c>
      <c r="E5" t="s">
        <v>420</v>
      </c>
      <c r="F5" t="s">
        <v>420</v>
      </c>
      <c r="G5" t="s">
        <v>427</v>
      </c>
      <c r="H5" t="s">
        <v>264</v>
      </c>
      <c r="J5" s="4" t="b">
        <v>0</v>
      </c>
      <c r="K5" s="4" t="b">
        <v>0</v>
      </c>
    </row>
    <row r="6" spans="1:24" x14ac:dyDescent="0.35">
      <c r="A6" t="s">
        <v>32</v>
      </c>
      <c r="B6" t="s">
        <v>202</v>
      </c>
      <c r="C6" t="s">
        <v>228</v>
      </c>
      <c r="D6" t="s">
        <v>233</v>
      </c>
      <c r="E6" t="s">
        <v>473</v>
      </c>
      <c r="F6" t="s">
        <v>473</v>
      </c>
      <c r="G6" t="s">
        <v>477</v>
      </c>
      <c r="H6" t="s">
        <v>264</v>
      </c>
      <c r="J6" s="4" t="b">
        <v>0</v>
      </c>
      <c r="K6" s="4" t="b">
        <v>0</v>
      </c>
    </row>
    <row r="7" spans="1:24" x14ac:dyDescent="0.35">
      <c r="A7" t="s">
        <v>32</v>
      </c>
      <c r="B7" t="s">
        <v>202</v>
      </c>
      <c r="C7" t="s">
        <v>228</v>
      </c>
      <c r="D7" t="s">
        <v>233</v>
      </c>
      <c r="E7" t="s">
        <v>474</v>
      </c>
      <c r="F7" t="s">
        <v>474</v>
      </c>
      <c r="G7" t="s">
        <v>478</v>
      </c>
      <c r="H7" t="s">
        <v>264</v>
      </c>
      <c r="J7" s="4" t="b">
        <v>0</v>
      </c>
      <c r="K7" s="4" t="b">
        <v>0</v>
      </c>
    </row>
  </sheetData>
  <autoFilter ref="A1:X7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33</v>
      </c>
      <c r="B2" t="s">
        <v>203</v>
      </c>
      <c r="C2" t="s">
        <v>228</v>
      </c>
      <c r="D2" t="s">
        <v>233</v>
      </c>
      <c r="E2" t="s">
        <v>423</v>
      </c>
      <c r="F2" t="s">
        <v>423</v>
      </c>
      <c r="G2" t="s">
        <v>365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33</v>
      </c>
      <c r="B3" t="s">
        <v>203</v>
      </c>
      <c r="C3" t="s">
        <v>228</v>
      </c>
      <c r="D3" t="s">
        <v>233</v>
      </c>
      <c r="E3" t="s">
        <v>419</v>
      </c>
      <c r="F3" t="s">
        <v>419</v>
      </c>
      <c r="G3" t="s">
        <v>475</v>
      </c>
      <c r="H3" t="s">
        <v>263</v>
      </c>
      <c r="J3" s="4" t="b">
        <v>0</v>
      </c>
      <c r="K3" s="4" t="b">
        <v>0</v>
      </c>
    </row>
    <row r="4" spans="1:24" x14ac:dyDescent="0.35">
      <c r="A4" t="s">
        <v>33</v>
      </c>
      <c r="B4" t="s">
        <v>203</v>
      </c>
      <c r="C4" t="s">
        <v>228</v>
      </c>
      <c r="D4" t="s">
        <v>233</v>
      </c>
      <c r="E4" t="s">
        <v>472</v>
      </c>
      <c r="F4" t="s">
        <v>472</v>
      </c>
      <c r="G4" t="s">
        <v>476</v>
      </c>
      <c r="H4" t="s">
        <v>264</v>
      </c>
      <c r="J4" s="4" t="b">
        <v>0</v>
      </c>
      <c r="K4" s="4" t="b">
        <v>0</v>
      </c>
    </row>
    <row r="5" spans="1:24" x14ac:dyDescent="0.35">
      <c r="A5" t="s">
        <v>33</v>
      </c>
      <c r="B5" t="s">
        <v>203</v>
      </c>
      <c r="C5" t="s">
        <v>228</v>
      </c>
      <c r="D5" t="s">
        <v>233</v>
      </c>
      <c r="E5" t="s">
        <v>420</v>
      </c>
      <c r="F5" t="s">
        <v>420</v>
      </c>
      <c r="G5" t="s">
        <v>427</v>
      </c>
      <c r="H5" t="s">
        <v>264</v>
      </c>
      <c r="J5" s="4" t="b">
        <v>0</v>
      </c>
      <c r="K5" s="4" t="b">
        <v>0</v>
      </c>
    </row>
    <row r="6" spans="1:24" x14ac:dyDescent="0.35">
      <c r="A6" t="s">
        <v>33</v>
      </c>
      <c r="B6" t="s">
        <v>203</v>
      </c>
      <c r="C6" t="s">
        <v>228</v>
      </c>
      <c r="D6" t="s">
        <v>233</v>
      </c>
      <c r="E6" t="s">
        <v>473</v>
      </c>
      <c r="F6" t="s">
        <v>473</v>
      </c>
      <c r="G6" t="s">
        <v>477</v>
      </c>
      <c r="H6" t="s">
        <v>264</v>
      </c>
      <c r="J6" s="4" t="b">
        <v>0</v>
      </c>
      <c r="K6" s="4" t="b">
        <v>0</v>
      </c>
    </row>
    <row r="7" spans="1:24" x14ac:dyDescent="0.35">
      <c r="A7" t="s">
        <v>33</v>
      </c>
      <c r="B7" t="s">
        <v>203</v>
      </c>
      <c r="C7" t="s">
        <v>228</v>
      </c>
      <c r="D7" t="s">
        <v>233</v>
      </c>
      <c r="E7" t="s">
        <v>474</v>
      </c>
      <c r="F7" t="s">
        <v>474</v>
      </c>
      <c r="G7" t="s">
        <v>478</v>
      </c>
      <c r="H7" t="s">
        <v>264</v>
      </c>
      <c r="J7" s="4" t="b">
        <v>0</v>
      </c>
      <c r="K7" s="4" t="b">
        <v>0</v>
      </c>
    </row>
  </sheetData>
  <autoFilter ref="A1:X7" xr:uid="{00000000-0009-0000-0000-000013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34</v>
      </c>
      <c r="B2" t="s">
        <v>76</v>
      </c>
      <c r="C2" t="s">
        <v>227</v>
      </c>
      <c r="D2" t="s">
        <v>232</v>
      </c>
      <c r="E2" t="s">
        <v>479</v>
      </c>
      <c r="F2" t="s">
        <v>479</v>
      </c>
      <c r="G2" t="s">
        <v>482</v>
      </c>
      <c r="H2" t="s">
        <v>263</v>
      </c>
      <c r="J2" s="4" t="b">
        <v>0</v>
      </c>
      <c r="K2" s="4" t="b">
        <v>0</v>
      </c>
      <c r="M2" s="1" t="s">
        <v>292</v>
      </c>
      <c r="N2" s="1" t="s">
        <v>293</v>
      </c>
    </row>
    <row r="3" spans="1:24" x14ac:dyDescent="0.35">
      <c r="A3" t="s">
        <v>34</v>
      </c>
      <c r="B3" t="s">
        <v>76</v>
      </c>
      <c r="C3" t="s">
        <v>227</v>
      </c>
      <c r="D3" t="s">
        <v>232</v>
      </c>
      <c r="E3" t="s">
        <v>480</v>
      </c>
      <c r="F3" t="s">
        <v>480</v>
      </c>
      <c r="G3" t="s">
        <v>483</v>
      </c>
      <c r="H3" t="s">
        <v>263</v>
      </c>
      <c r="J3" s="4" t="b">
        <v>0</v>
      </c>
      <c r="K3" s="4" t="b">
        <v>0</v>
      </c>
      <c r="M3" s="1" t="s">
        <v>292</v>
      </c>
      <c r="N3" s="1" t="s">
        <v>293</v>
      </c>
    </row>
    <row r="4" spans="1:24" x14ac:dyDescent="0.35">
      <c r="A4" t="s">
        <v>34</v>
      </c>
      <c r="B4" t="s">
        <v>76</v>
      </c>
      <c r="C4" t="s">
        <v>227</v>
      </c>
      <c r="D4" t="s">
        <v>232</v>
      </c>
      <c r="E4" t="s">
        <v>481</v>
      </c>
      <c r="F4" t="s">
        <v>481</v>
      </c>
      <c r="G4" t="s">
        <v>484</v>
      </c>
      <c r="H4" t="s">
        <v>263</v>
      </c>
      <c r="J4" s="4" t="b">
        <v>0</v>
      </c>
      <c r="K4" s="4" t="b">
        <v>0</v>
      </c>
    </row>
  </sheetData>
  <autoFilter ref="A1:X4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87" x14ac:dyDescent="0.35">
      <c r="A2" t="s">
        <v>35</v>
      </c>
      <c r="B2" t="s">
        <v>204</v>
      </c>
      <c r="C2" t="s">
        <v>230</v>
      </c>
      <c r="D2" t="s">
        <v>235</v>
      </c>
      <c r="E2" t="s">
        <v>485</v>
      </c>
      <c r="F2" t="s">
        <v>485</v>
      </c>
      <c r="G2" t="s">
        <v>340</v>
      </c>
      <c r="H2" t="s">
        <v>263</v>
      </c>
      <c r="J2" s="4" t="b">
        <v>0</v>
      </c>
      <c r="K2" s="4" t="b">
        <v>0</v>
      </c>
      <c r="M2" s="1" t="s">
        <v>492</v>
      </c>
      <c r="N2" s="1" t="s">
        <v>496</v>
      </c>
    </row>
    <row r="3" spans="1:24" ht="29" x14ac:dyDescent="0.35">
      <c r="A3" t="s">
        <v>35</v>
      </c>
      <c r="B3" t="s">
        <v>204</v>
      </c>
      <c r="C3" t="s">
        <v>230</v>
      </c>
      <c r="D3" t="s">
        <v>235</v>
      </c>
      <c r="E3" t="s">
        <v>486</v>
      </c>
      <c r="F3" t="s">
        <v>486</v>
      </c>
      <c r="G3" t="s">
        <v>489</v>
      </c>
      <c r="H3" t="s">
        <v>263</v>
      </c>
      <c r="J3" s="4" t="b">
        <v>0</v>
      </c>
      <c r="K3" s="4" t="b">
        <v>0</v>
      </c>
      <c r="M3" s="1" t="s">
        <v>493</v>
      </c>
      <c r="N3" s="1" t="s">
        <v>497</v>
      </c>
    </row>
    <row r="4" spans="1:24" ht="58" x14ac:dyDescent="0.35">
      <c r="A4" t="s">
        <v>35</v>
      </c>
      <c r="B4" t="s">
        <v>204</v>
      </c>
      <c r="C4" t="s">
        <v>230</v>
      </c>
      <c r="D4" t="s">
        <v>235</v>
      </c>
      <c r="E4" t="s">
        <v>487</v>
      </c>
      <c r="F4" t="s">
        <v>487</v>
      </c>
      <c r="G4" t="s">
        <v>490</v>
      </c>
      <c r="H4" t="s">
        <v>263</v>
      </c>
      <c r="J4" s="4" t="b">
        <v>0</v>
      </c>
      <c r="K4" s="4" t="b">
        <v>0</v>
      </c>
      <c r="M4" s="1" t="s">
        <v>494</v>
      </c>
      <c r="N4" s="1" t="s">
        <v>498</v>
      </c>
    </row>
    <row r="5" spans="1:24" ht="43.5" x14ac:dyDescent="0.35">
      <c r="A5" t="s">
        <v>35</v>
      </c>
      <c r="B5" t="s">
        <v>204</v>
      </c>
      <c r="C5" t="s">
        <v>230</v>
      </c>
      <c r="D5" t="s">
        <v>235</v>
      </c>
      <c r="E5" t="s">
        <v>488</v>
      </c>
      <c r="F5" t="s">
        <v>488</v>
      </c>
      <c r="G5" t="s">
        <v>491</v>
      </c>
      <c r="H5" t="s">
        <v>263</v>
      </c>
      <c r="J5" s="4" t="b">
        <v>0</v>
      </c>
      <c r="K5" s="4" t="b">
        <v>0</v>
      </c>
      <c r="M5" s="1" t="s">
        <v>495</v>
      </c>
      <c r="N5" s="1" t="s">
        <v>499</v>
      </c>
    </row>
  </sheetData>
  <autoFilter ref="A1:X5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116" x14ac:dyDescent="0.35">
      <c r="A2" t="s">
        <v>36</v>
      </c>
      <c r="B2" t="s">
        <v>205</v>
      </c>
      <c r="C2" t="s">
        <v>231</v>
      </c>
      <c r="D2" t="s">
        <v>236</v>
      </c>
      <c r="E2" t="s">
        <v>500</v>
      </c>
      <c r="F2" t="s">
        <v>500</v>
      </c>
      <c r="G2" t="s">
        <v>340</v>
      </c>
      <c r="H2" t="s">
        <v>263</v>
      </c>
      <c r="J2" s="4" t="b">
        <v>0</v>
      </c>
      <c r="K2" s="4" t="b">
        <v>0</v>
      </c>
      <c r="M2" s="1" t="s">
        <v>505</v>
      </c>
      <c r="N2" s="1" t="s">
        <v>508</v>
      </c>
    </row>
    <row r="3" spans="1:24" ht="101.5" x14ac:dyDescent="0.35">
      <c r="A3" t="s">
        <v>36</v>
      </c>
      <c r="B3" t="s">
        <v>205</v>
      </c>
      <c r="C3" t="s">
        <v>231</v>
      </c>
      <c r="D3" t="s">
        <v>236</v>
      </c>
      <c r="E3" t="s">
        <v>501</v>
      </c>
      <c r="F3" t="s">
        <v>501</v>
      </c>
      <c r="G3" t="s">
        <v>503</v>
      </c>
      <c r="H3" t="s">
        <v>263</v>
      </c>
      <c r="J3" s="4" t="b">
        <v>0</v>
      </c>
      <c r="K3" s="4" t="b">
        <v>0</v>
      </c>
      <c r="M3" s="1" t="s">
        <v>506</v>
      </c>
      <c r="N3" s="1" t="s">
        <v>509</v>
      </c>
    </row>
    <row r="4" spans="1:24" ht="43.5" x14ac:dyDescent="0.35">
      <c r="A4" t="s">
        <v>36</v>
      </c>
      <c r="B4" t="s">
        <v>205</v>
      </c>
      <c r="C4" t="s">
        <v>231</v>
      </c>
      <c r="D4" t="s">
        <v>236</v>
      </c>
      <c r="E4" t="s">
        <v>502</v>
      </c>
      <c r="F4" t="s">
        <v>502</v>
      </c>
      <c r="G4" t="s">
        <v>504</v>
      </c>
      <c r="H4" t="s">
        <v>263</v>
      </c>
      <c r="J4" s="4" t="b">
        <v>0</v>
      </c>
      <c r="K4" s="4" t="b">
        <v>0</v>
      </c>
      <c r="M4" s="1" t="s">
        <v>507</v>
      </c>
      <c r="N4" s="1" t="s">
        <v>510</v>
      </c>
    </row>
  </sheetData>
  <autoFilter ref="A1:X4" xr:uid="{00000000-0009-0000-0000-000016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72.5" x14ac:dyDescent="0.35">
      <c r="A2" t="s">
        <v>37</v>
      </c>
      <c r="B2" t="s">
        <v>206</v>
      </c>
      <c r="C2" t="s">
        <v>227</v>
      </c>
      <c r="D2" t="s">
        <v>232</v>
      </c>
      <c r="E2" t="s">
        <v>511</v>
      </c>
      <c r="F2" t="s">
        <v>511</v>
      </c>
      <c r="G2" t="s">
        <v>268</v>
      </c>
      <c r="H2" t="s">
        <v>263</v>
      </c>
      <c r="J2" s="4" t="b">
        <v>0</v>
      </c>
      <c r="K2" s="4" t="b">
        <v>0</v>
      </c>
      <c r="M2" s="1" t="s">
        <v>518</v>
      </c>
      <c r="N2" s="1" t="s">
        <v>519</v>
      </c>
    </row>
    <row r="3" spans="1:24" x14ac:dyDescent="0.35">
      <c r="A3" t="s">
        <v>37</v>
      </c>
      <c r="B3" t="s">
        <v>206</v>
      </c>
      <c r="C3" t="s">
        <v>227</v>
      </c>
      <c r="D3" t="s">
        <v>232</v>
      </c>
      <c r="E3" t="s">
        <v>512</v>
      </c>
      <c r="F3" t="s">
        <v>512</v>
      </c>
      <c r="G3" t="s">
        <v>277</v>
      </c>
      <c r="H3" t="s">
        <v>264</v>
      </c>
      <c r="J3" s="4" t="b">
        <v>0</v>
      </c>
      <c r="K3" s="4" t="b">
        <v>0</v>
      </c>
      <c r="Q3">
        <v>0</v>
      </c>
      <c r="R3">
        <v>360</v>
      </c>
    </row>
    <row r="4" spans="1:24" x14ac:dyDescent="0.35">
      <c r="A4" t="s">
        <v>37</v>
      </c>
      <c r="B4" t="s">
        <v>206</v>
      </c>
      <c r="C4" t="s">
        <v>227</v>
      </c>
      <c r="D4" t="s">
        <v>232</v>
      </c>
      <c r="E4" t="s">
        <v>513</v>
      </c>
      <c r="F4" t="s">
        <v>513</v>
      </c>
      <c r="G4" t="s">
        <v>278</v>
      </c>
      <c r="H4" t="s">
        <v>264</v>
      </c>
      <c r="J4" s="4" t="b">
        <v>0</v>
      </c>
      <c r="K4" s="4" t="b">
        <v>0</v>
      </c>
      <c r="Q4">
        <v>0</v>
      </c>
    </row>
    <row r="5" spans="1:24" x14ac:dyDescent="0.35">
      <c r="A5" t="s">
        <v>37</v>
      </c>
      <c r="B5" t="s">
        <v>206</v>
      </c>
      <c r="C5" t="s">
        <v>227</v>
      </c>
      <c r="D5" t="s">
        <v>232</v>
      </c>
      <c r="E5" t="s">
        <v>514</v>
      </c>
      <c r="F5" t="s">
        <v>514</v>
      </c>
      <c r="G5" t="s">
        <v>516</v>
      </c>
      <c r="H5" t="s">
        <v>263</v>
      </c>
      <c r="J5" s="4" t="b">
        <v>0</v>
      </c>
      <c r="K5" s="4" t="b">
        <v>0</v>
      </c>
    </row>
    <row r="6" spans="1:24" x14ac:dyDescent="0.35">
      <c r="A6" t="s">
        <v>37</v>
      </c>
      <c r="B6" t="s">
        <v>206</v>
      </c>
      <c r="C6" t="s">
        <v>227</v>
      </c>
      <c r="D6" t="s">
        <v>232</v>
      </c>
      <c r="E6" t="s">
        <v>515</v>
      </c>
      <c r="F6" t="s">
        <v>515</v>
      </c>
      <c r="G6" t="s">
        <v>517</v>
      </c>
      <c r="H6" t="s">
        <v>263</v>
      </c>
      <c r="J6" s="4" t="b">
        <v>0</v>
      </c>
      <c r="K6" s="4" t="b">
        <v>0</v>
      </c>
    </row>
  </sheetData>
  <autoFilter ref="A1:X6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38</v>
      </c>
      <c r="B2" t="s">
        <v>207</v>
      </c>
      <c r="C2" t="s">
        <v>228</v>
      </c>
      <c r="D2" t="s">
        <v>233</v>
      </c>
      <c r="E2" t="s">
        <v>520</v>
      </c>
      <c r="F2" t="s">
        <v>520</v>
      </c>
      <c r="G2" t="s">
        <v>523</v>
      </c>
      <c r="H2" t="s">
        <v>264</v>
      </c>
      <c r="J2" s="4" t="b">
        <v>0</v>
      </c>
      <c r="K2" s="4" t="b">
        <v>0</v>
      </c>
    </row>
    <row r="3" spans="1:24" x14ac:dyDescent="0.35">
      <c r="A3" t="s">
        <v>38</v>
      </c>
      <c r="B3" t="s">
        <v>207</v>
      </c>
      <c r="C3" t="s">
        <v>228</v>
      </c>
      <c r="D3" t="s">
        <v>233</v>
      </c>
      <c r="E3" t="s">
        <v>521</v>
      </c>
      <c r="F3" t="s">
        <v>521</v>
      </c>
      <c r="G3" t="s">
        <v>524</v>
      </c>
      <c r="H3" t="s">
        <v>264</v>
      </c>
      <c r="J3" s="4" t="b">
        <v>0</v>
      </c>
      <c r="K3" s="4" t="b">
        <v>0</v>
      </c>
    </row>
    <row r="4" spans="1:24" x14ac:dyDescent="0.35">
      <c r="A4" t="s">
        <v>38</v>
      </c>
      <c r="B4" t="s">
        <v>207</v>
      </c>
      <c r="C4" t="s">
        <v>228</v>
      </c>
      <c r="D4" t="s">
        <v>233</v>
      </c>
      <c r="E4" t="s">
        <v>423</v>
      </c>
      <c r="F4" t="s">
        <v>423</v>
      </c>
      <c r="G4" t="s">
        <v>365</v>
      </c>
      <c r="H4" t="s">
        <v>263</v>
      </c>
      <c r="J4" s="4" t="b">
        <v>0</v>
      </c>
      <c r="K4" s="4" t="b">
        <v>0</v>
      </c>
    </row>
    <row r="5" spans="1:24" x14ac:dyDescent="0.35">
      <c r="A5" t="s">
        <v>38</v>
      </c>
      <c r="B5" t="s">
        <v>207</v>
      </c>
      <c r="C5" t="s">
        <v>228</v>
      </c>
      <c r="D5" t="s">
        <v>233</v>
      </c>
      <c r="E5" t="s">
        <v>522</v>
      </c>
      <c r="F5" t="s">
        <v>522</v>
      </c>
      <c r="G5" t="s">
        <v>525</v>
      </c>
      <c r="H5" t="s">
        <v>264</v>
      </c>
      <c r="J5" s="4" t="b">
        <v>0</v>
      </c>
      <c r="K5" s="4" t="b">
        <v>0</v>
      </c>
    </row>
    <row r="6" spans="1:24" x14ac:dyDescent="0.35">
      <c r="A6" t="s">
        <v>38</v>
      </c>
      <c r="B6" t="s">
        <v>207</v>
      </c>
      <c r="C6" t="s">
        <v>228</v>
      </c>
      <c r="D6" t="s">
        <v>233</v>
      </c>
      <c r="E6" t="s">
        <v>419</v>
      </c>
      <c r="F6" t="s">
        <v>419</v>
      </c>
      <c r="G6" t="s">
        <v>426</v>
      </c>
      <c r="H6" t="s">
        <v>263</v>
      </c>
      <c r="J6" s="4" t="b">
        <v>0</v>
      </c>
      <c r="K6" s="4" t="b">
        <v>0</v>
      </c>
    </row>
    <row r="7" spans="1:24" x14ac:dyDescent="0.35">
      <c r="A7" t="s">
        <v>38</v>
      </c>
      <c r="B7" t="s">
        <v>207</v>
      </c>
      <c r="C7" t="s">
        <v>228</v>
      </c>
      <c r="D7" t="s">
        <v>233</v>
      </c>
      <c r="E7" t="s">
        <v>420</v>
      </c>
      <c r="F7" t="s">
        <v>420</v>
      </c>
      <c r="G7" t="s">
        <v>427</v>
      </c>
      <c r="H7" t="s">
        <v>264</v>
      </c>
      <c r="J7" s="4" t="b">
        <v>0</v>
      </c>
      <c r="K7" s="4" t="b">
        <v>0</v>
      </c>
    </row>
  </sheetData>
  <autoFilter ref="A1:X7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39</v>
      </c>
      <c r="B2" t="s">
        <v>208</v>
      </c>
      <c r="C2" t="s">
        <v>228</v>
      </c>
      <c r="D2" t="s">
        <v>233</v>
      </c>
      <c r="E2" t="s">
        <v>419</v>
      </c>
      <c r="F2" t="s">
        <v>419</v>
      </c>
      <c r="G2" t="s">
        <v>426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39</v>
      </c>
      <c r="B3" t="s">
        <v>208</v>
      </c>
      <c r="C3" t="s">
        <v>228</v>
      </c>
      <c r="D3" t="s">
        <v>233</v>
      </c>
      <c r="E3" t="s">
        <v>526</v>
      </c>
      <c r="F3" t="s">
        <v>526</v>
      </c>
      <c r="G3" t="s">
        <v>528</v>
      </c>
      <c r="H3" t="s">
        <v>264</v>
      </c>
      <c r="J3" s="4" t="b">
        <v>0</v>
      </c>
      <c r="K3" s="4" t="b">
        <v>0</v>
      </c>
    </row>
    <row r="4" spans="1:24" x14ac:dyDescent="0.35">
      <c r="A4" t="s">
        <v>39</v>
      </c>
      <c r="B4" t="s">
        <v>208</v>
      </c>
      <c r="C4" t="s">
        <v>228</v>
      </c>
      <c r="D4" t="s">
        <v>233</v>
      </c>
      <c r="E4" t="s">
        <v>527</v>
      </c>
      <c r="F4" t="s">
        <v>527</v>
      </c>
      <c r="G4" t="s">
        <v>529</v>
      </c>
      <c r="H4" t="s">
        <v>264</v>
      </c>
      <c r="J4" s="4" t="b">
        <v>0</v>
      </c>
      <c r="K4" s="4" t="b">
        <v>0</v>
      </c>
    </row>
    <row r="5" spans="1:24" x14ac:dyDescent="0.35">
      <c r="A5" t="s">
        <v>39</v>
      </c>
      <c r="B5" t="s">
        <v>208</v>
      </c>
      <c r="C5" t="s">
        <v>228</v>
      </c>
      <c r="D5" t="s">
        <v>233</v>
      </c>
      <c r="E5" t="s">
        <v>420</v>
      </c>
      <c r="F5" t="s">
        <v>420</v>
      </c>
      <c r="G5" t="s">
        <v>427</v>
      </c>
      <c r="H5" t="s">
        <v>264</v>
      </c>
      <c r="J5" s="4" t="b">
        <v>0</v>
      </c>
      <c r="K5" s="4" t="b">
        <v>0</v>
      </c>
    </row>
  </sheetData>
  <autoFilter ref="A1:X5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40</v>
      </c>
      <c r="B2" t="s">
        <v>209</v>
      </c>
      <c r="C2" t="s">
        <v>228</v>
      </c>
      <c r="D2" t="s">
        <v>233</v>
      </c>
      <c r="E2" t="s">
        <v>419</v>
      </c>
      <c r="F2" t="s">
        <v>419</v>
      </c>
      <c r="G2" t="s">
        <v>426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40</v>
      </c>
      <c r="B3" t="s">
        <v>209</v>
      </c>
      <c r="C3" t="s">
        <v>228</v>
      </c>
      <c r="D3" t="s">
        <v>233</v>
      </c>
      <c r="E3" t="s">
        <v>423</v>
      </c>
      <c r="F3" t="s">
        <v>423</v>
      </c>
      <c r="G3" t="s">
        <v>365</v>
      </c>
      <c r="H3" t="s">
        <v>263</v>
      </c>
      <c r="J3" s="4" t="b">
        <v>0</v>
      </c>
      <c r="K3" s="4" t="b">
        <v>0</v>
      </c>
    </row>
    <row r="4" spans="1:24" x14ac:dyDescent="0.35">
      <c r="A4" t="s">
        <v>40</v>
      </c>
      <c r="B4" t="s">
        <v>209</v>
      </c>
      <c r="C4" t="s">
        <v>228</v>
      </c>
      <c r="D4" t="s">
        <v>233</v>
      </c>
      <c r="E4" t="s">
        <v>530</v>
      </c>
      <c r="F4" t="s">
        <v>530</v>
      </c>
      <c r="G4" t="s">
        <v>523</v>
      </c>
      <c r="H4" t="s">
        <v>264</v>
      </c>
      <c r="J4" s="4" t="b">
        <v>0</v>
      </c>
      <c r="K4" s="4" t="b">
        <v>0</v>
      </c>
    </row>
    <row r="5" spans="1:24" x14ac:dyDescent="0.35">
      <c r="A5" t="s">
        <v>40</v>
      </c>
      <c r="B5" t="s">
        <v>209</v>
      </c>
      <c r="C5" t="s">
        <v>228</v>
      </c>
      <c r="D5" t="s">
        <v>233</v>
      </c>
      <c r="E5" t="s">
        <v>527</v>
      </c>
      <c r="F5" t="s">
        <v>527</v>
      </c>
      <c r="G5" t="s">
        <v>524</v>
      </c>
      <c r="H5" t="s">
        <v>264</v>
      </c>
      <c r="J5" s="4" t="b">
        <v>0</v>
      </c>
      <c r="K5" s="4" t="b">
        <v>0</v>
      </c>
    </row>
    <row r="6" spans="1:24" x14ac:dyDescent="0.35">
      <c r="A6" t="s">
        <v>40</v>
      </c>
      <c r="B6" t="s">
        <v>209</v>
      </c>
      <c r="C6" t="s">
        <v>228</v>
      </c>
      <c r="D6" t="s">
        <v>233</v>
      </c>
      <c r="E6" t="s">
        <v>420</v>
      </c>
      <c r="F6" t="s">
        <v>420</v>
      </c>
      <c r="G6" t="s">
        <v>427</v>
      </c>
      <c r="H6" t="s">
        <v>264</v>
      </c>
      <c r="J6" s="4" t="b">
        <v>0</v>
      </c>
      <c r="K6" s="4" t="b">
        <v>0</v>
      </c>
    </row>
  </sheetData>
  <autoFilter ref="A1:X6" xr:uid="{00000000-0009-0000-0000-00001A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41</v>
      </c>
      <c r="B2" t="s">
        <v>210</v>
      </c>
      <c r="C2" t="s">
        <v>227</v>
      </c>
      <c r="D2" t="s">
        <v>232</v>
      </c>
      <c r="E2" t="s">
        <v>531</v>
      </c>
      <c r="F2" t="s">
        <v>531</v>
      </c>
      <c r="G2" t="s">
        <v>541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41</v>
      </c>
      <c r="B3" t="s">
        <v>210</v>
      </c>
      <c r="C3" t="s">
        <v>227</v>
      </c>
      <c r="D3" t="s">
        <v>232</v>
      </c>
      <c r="E3" t="s">
        <v>532</v>
      </c>
      <c r="F3" t="s">
        <v>532</v>
      </c>
      <c r="G3" t="s">
        <v>542</v>
      </c>
      <c r="H3" t="s">
        <v>263</v>
      </c>
      <c r="J3" s="4" t="b">
        <v>0</v>
      </c>
      <c r="K3" s="4" t="b">
        <v>0</v>
      </c>
    </row>
    <row r="4" spans="1:24" x14ac:dyDescent="0.35">
      <c r="A4" t="s">
        <v>41</v>
      </c>
      <c r="B4" t="s">
        <v>210</v>
      </c>
      <c r="C4" t="s">
        <v>227</v>
      </c>
      <c r="D4" t="s">
        <v>232</v>
      </c>
      <c r="E4" t="s">
        <v>533</v>
      </c>
      <c r="F4" t="s">
        <v>533</v>
      </c>
      <c r="G4" t="s">
        <v>543</v>
      </c>
      <c r="H4" t="s">
        <v>264</v>
      </c>
      <c r="J4" s="4" t="b">
        <v>0</v>
      </c>
      <c r="K4" s="4" t="b">
        <v>0</v>
      </c>
      <c r="Q4">
        <v>0</v>
      </c>
    </row>
    <row r="5" spans="1:24" x14ac:dyDescent="0.35">
      <c r="A5" t="s">
        <v>41</v>
      </c>
      <c r="B5" t="s">
        <v>210</v>
      </c>
      <c r="C5" t="s">
        <v>227</v>
      </c>
      <c r="D5" t="s">
        <v>232</v>
      </c>
      <c r="E5" t="s">
        <v>534</v>
      </c>
      <c r="F5" t="s">
        <v>534</v>
      </c>
      <c r="G5" t="s">
        <v>544</v>
      </c>
      <c r="H5" t="s">
        <v>264</v>
      </c>
      <c r="J5" s="4" t="b">
        <v>0</v>
      </c>
      <c r="K5" s="4" t="b">
        <v>0</v>
      </c>
      <c r="Q5">
        <v>0</v>
      </c>
    </row>
    <row r="6" spans="1:24" x14ac:dyDescent="0.35">
      <c r="A6" t="s">
        <v>41</v>
      </c>
      <c r="B6" t="s">
        <v>210</v>
      </c>
      <c r="C6" t="s">
        <v>227</v>
      </c>
      <c r="D6" t="s">
        <v>232</v>
      </c>
      <c r="E6" t="s">
        <v>535</v>
      </c>
      <c r="F6" t="s">
        <v>535</v>
      </c>
      <c r="G6" t="s">
        <v>545</v>
      </c>
      <c r="H6" t="s">
        <v>264</v>
      </c>
      <c r="J6" s="4" t="b">
        <v>0</v>
      </c>
      <c r="K6" s="4" t="b">
        <v>0</v>
      </c>
      <c r="Q6">
        <v>0</v>
      </c>
    </row>
    <row r="7" spans="1:24" ht="101.5" x14ac:dyDescent="0.35">
      <c r="A7" t="s">
        <v>41</v>
      </c>
      <c r="B7" t="s">
        <v>210</v>
      </c>
      <c r="C7" t="s">
        <v>227</v>
      </c>
      <c r="D7" t="s">
        <v>232</v>
      </c>
      <c r="E7" t="s">
        <v>536</v>
      </c>
      <c r="F7" t="s">
        <v>536</v>
      </c>
      <c r="G7" t="s">
        <v>546</v>
      </c>
      <c r="H7" t="s">
        <v>263</v>
      </c>
      <c r="J7" s="4" t="b">
        <v>0</v>
      </c>
      <c r="K7" s="4" t="b">
        <v>0</v>
      </c>
      <c r="M7" s="1" t="s">
        <v>551</v>
      </c>
      <c r="N7" s="1" t="s">
        <v>553</v>
      </c>
    </row>
    <row r="8" spans="1:24" x14ac:dyDescent="0.35">
      <c r="A8" t="s">
        <v>41</v>
      </c>
      <c r="B8" t="s">
        <v>210</v>
      </c>
      <c r="C8" t="s">
        <v>227</v>
      </c>
      <c r="D8" t="s">
        <v>232</v>
      </c>
      <c r="E8" t="s">
        <v>537</v>
      </c>
      <c r="F8" t="s">
        <v>537</v>
      </c>
      <c r="G8" t="s">
        <v>547</v>
      </c>
      <c r="H8" t="s">
        <v>264</v>
      </c>
      <c r="J8" s="4" t="b">
        <v>0</v>
      </c>
      <c r="K8" s="4" t="b">
        <v>0</v>
      </c>
      <c r="Q8">
        <v>0</v>
      </c>
    </row>
    <row r="9" spans="1:24" x14ac:dyDescent="0.35">
      <c r="A9" t="s">
        <v>41</v>
      </c>
      <c r="B9" t="s">
        <v>210</v>
      </c>
      <c r="C9" t="s">
        <v>227</v>
      </c>
      <c r="D9" t="s">
        <v>232</v>
      </c>
      <c r="E9" t="s">
        <v>538</v>
      </c>
      <c r="F9" t="s">
        <v>538</v>
      </c>
      <c r="G9" t="s">
        <v>548</v>
      </c>
      <c r="H9" t="s">
        <v>264</v>
      </c>
      <c r="J9" s="4" t="b">
        <v>0</v>
      </c>
      <c r="K9" s="4" t="b">
        <v>0</v>
      </c>
      <c r="Q9">
        <v>0</v>
      </c>
    </row>
    <row r="10" spans="1:24" ht="116" x14ac:dyDescent="0.35">
      <c r="A10" t="s">
        <v>41</v>
      </c>
      <c r="B10" t="s">
        <v>210</v>
      </c>
      <c r="C10" t="s">
        <v>227</v>
      </c>
      <c r="D10" t="s">
        <v>232</v>
      </c>
      <c r="E10" t="s">
        <v>539</v>
      </c>
      <c r="F10" t="s">
        <v>539</v>
      </c>
      <c r="G10" t="s">
        <v>549</v>
      </c>
      <c r="H10" t="s">
        <v>263</v>
      </c>
      <c r="J10" s="4" t="b">
        <v>0</v>
      </c>
      <c r="K10" s="4" t="b">
        <v>0</v>
      </c>
      <c r="M10" s="1" t="s">
        <v>552</v>
      </c>
      <c r="N10" s="1" t="s">
        <v>554</v>
      </c>
    </row>
    <row r="11" spans="1:24" x14ac:dyDescent="0.35">
      <c r="A11" t="s">
        <v>41</v>
      </c>
      <c r="B11" t="s">
        <v>210</v>
      </c>
      <c r="C11" t="s">
        <v>227</v>
      </c>
      <c r="D11" t="s">
        <v>232</v>
      </c>
      <c r="E11" t="s">
        <v>540</v>
      </c>
      <c r="F11" t="s">
        <v>540</v>
      </c>
      <c r="G11" t="s">
        <v>550</v>
      </c>
      <c r="H11" t="s">
        <v>263</v>
      </c>
      <c r="J11" s="4" t="b">
        <v>0</v>
      </c>
      <c r="K11" s="4" t="b">
        <v>0</v>
      </c>
    </row>
  </sheetData>
  <autoFilter ref="A1:X11" xr:uid="{00000000-0009-0000-0000-00001B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42</v>
      </c>
      <c r="B2" t="s">
        <v>211</v>
      </c>
      <c r="C2" t="s">
        <v>227</v>
      </c>
      <c r="D2" t="s">
        <v>232</v>
      </c>
      <c r="E2" t="s">
        <v>555</v>
      </c>
      <c r="F2" t="s">
        <v>555</v>
      </c>
      <c r="G2" t="s">
        <v>559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42</v>
      </c>
      <c r="B3" t="s">
        <v>211</v>
      </c>
      <c r="C3" t="s">
        <v>227</v>
      </c>
      <c r="D3" t="s">
        <v>232</v>
      </c>
      <c r="E3" t="s">
        <v>556</v>
      </c>
      <c r="F3" t="s">
        <v>556</v>
      </c>
      <c r="G3" t="s">
        <v>560</v>
      </c>
      <c r="H3" t="s">
        <v>263</v>
      </c>
      <c r="J3" s="4" t="b">
        <v>0</v>
      </c>
      <c r="K3" s="4" t="b">
        <v>0</v>
      </c>
    </row>
    <row r="4" spans="1:24" x14ac:dyDescent="0.35">
      <c r="A4" t="s">
        <v>42</v>
      </c>
      <c r="B4" t="s">
        <v>211</v>
      </c>
      <c r="C4" t="s">
        <v>227</v>
      </c>
      <c r="D4" t="s">
        <v>232</v>
      </c>
      <c r="E4" t="s">
        <v>557</v>
      </c>
      <c r="F4" t="s">
        <v>557</v>
      </c>
      <c r="G4" t="s">
        <v>561</v>
      </c>
      <c r="H4" t="s">
        <v>263</v>
      </c>
      <c r="J4" s="4" t="b">
        <v>0</v>
      </c>
      <c r="K4" s="4" t="b">
        <v>0</v>
      </c>
    </row>
    <row r="5" spans="1:24" x14ac:dyDescent="0.35">
      <c r="A5" t="s">
        <v>42</v>
      </c>
      <c r="B5" t="s">
        <v>211</v>
      </c>
      <c r="C5" t="s">
        <v>227</v>
      </c>
      <c r="D5" t="s">
        <v>232</v>
      </c>
      <c r="E5" t="s">
        <v>558</v>
      </c>
      <c r="F5" t="s">
        <v>558</v>
      </c>
      <c r="G5" t="s">
        <v>562</v>
      </c>
      <c r="H5" t="s">
        <v>263</v>
      </c>
      <c r="J5" s="4" t="b">
        <v>0</v>
      </c>
      <c r="K5" s="4" t="b">
        <v>0</v>
      </c>
    </row>
  </sheetData>
  <autoFilter ref="A1:X5" xr:uid="{00000000-0009-0000-0000-00001C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29" x14ac:dyDescent="0.35">
      <c r="A2" t="s">
        <v>43</v>
      </c>
      <c r="B2" t="s">
        <v>212</v>
      </c>
      <c r="C2" t="s">
        <v>227</v>
      </c>
      <c r="D2" t="s">
        <v>232</v>
      </c>
      <c r="E2" t="s">
        <v>563</v>
      </c>
      <c r="F2" t="s">
        <v>563</v>
      </c>
      <c r="G2" t="s">
        <v>566</v>
      </c>
      <c r="H2" t="s">
        <v>263</v>
      </c>
      <c r="J2" s="4" t="b">
        <v>0</v>
      </c>
      <c r="K2" s="4" t="b">
        <v>0</v>
      </c>
      <c r="M2" s="1" t="s">
        <v>413</v>
      </c>
      <c r="N2" s="1" t="s">
        <v>416</v>
      </c>
    </row>
    <row r="3" spans="1:24" x14ac:dyDescent="0.35">
      <c r="A3" t="s">
        <v>43</v>
      </c>
      <c r="B3" t="s">
        <v>212</v>
      </c>
      <c r="C3" t="s">
        <v>227</v>
      </c>
      <c r="D3" t="s">
        <v>232</v>
      </c>
      <c r="E3" t="s">
        <v>564</v>
      </c>
      <c r="F3" t="s">
        <v>564</v>
      </c>
      <c r="G3" t="s">
        <v>567</v>
      </c>
      <c r="H3" t="s">
        <v>264</v>
      </c>
      <c r="J3" s="4" t="b">
        <v>0</v>
      </c>
      <c r="K3" s="4" t="b">
        <v>0</v>
      </c>
      <c r="Q3">
        <v>0</v>
      </c>
    </row>
    <row r="4" spans="1:24" x14ac:dyDescent="0.35">
      <c r="A4" t="s">
        <v>43</v>
      </c>
      <c r="B4" t="s">
        <v>212</v>
      </c>
      <c r="C4" t="s">
        <v>227</v>
      </c>
      <c r="D4" t="s">
        <v>232</v>
      </c>
      <c r="E4" t="s">
        <v>565</v>
      </c>
      <c r="F4" t="s">
        <v>565</v>
      </c>
      <c r="G4" t="s">
        <v>568</v>
      </c>
      <c r="H4" t="s">
        <v>263</v>
      </c>
      <c r="J4" s="4" t="b">
        <v>0</v>
      </c>
      <c r="K4" s="4" t="b">
        <v>0</v>
      </c>
    </row>
  </sheetData>
  <autoFilter ref="A1:X4" xr:uid="{00000000-0009-0000-0000-00001D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44</v>
      </c>
      <c r="B2" t="s">
        <v>213</v>
      </c>
      <c r="C2" t="s">
        <v>228</v>
      </c>
      <c r="D2" t="s">
        <v>233</v>
      </c>
      <c r="E2" t="s">
        <v>419</v>
      </c>
      <c r="F2" t="s">
        <v>419</v>
      </c>
      <c r="G2" t="s">
        <v>426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44</v>
      </c>
      <c r="B3" t="s">
        <v>213</v>
      </c>
      <c r="C3" t="s">
        <v>228</v>
      </c>
      <c r="D3" t="s">
        <v>233</v>
      </c>
      <c r="E3" t="s">
        <v>423</v>
      </c>
      <c r="F3" t="s">
        <v>423</v>
      </c>
      <c r="G3" t="s">
        <v>365</v>
      </c>
      <c r="H3" t="s">
        <v>263</v>
      </c>
      <c r="J3" s="4" t="b">
        <v>0</v>
      </c>
      <c r="K3" s="4" t="b">
        <v>0</v>
      </c>
    </row>
    <row r="4" spans="1:24" x14ac:dyDescent="0.35">
      <c r="A4" t="s">
        <v>44</v>
      </c>
      <c r="B4" t="s">
        <v>213</v>
      </c>
      <c r="C4" t="s">
        <v>228</v>
      </c>
      <c r="D4" t="s">
        <v>233</v>
      </c>
      <c r="E4" t="s">
        <v>569</v>
      </c>
      <c r="F4" t="s">
        <v>569</v>
      </c>
      <c r="G4" t="s">
        <v>571</v>
      </c>
      <c r="H4" t="s">
        <v>263</v>
      </c>
      <c r="J4" s="4" t="b">
        <v>0</v>
      </c>
      <c r="K4" s="4" t="b">
        <v>0</v>
      </c>
    </row>
    <row r="5" spans="1:24" x14ac:dyDescent="0.35">
      <c r="A5" t="s">
        <v>44</v>
      </c>
      <c r="B5" t="s">
        <v>213</v>
      </c>
      <c r="C5" t="s">
        <v>228</v>
      </c>
      <c r="D5" t="s">
        <v>233</v>
      </c>
      <c r="E5" t="s">
        <v>424</v>
      </c>
      <c r="F5" t="s">
        <v>424</v>
      </c>
      <c r="G5" t="s">
        <v>430</v>
      </c>
      <c r="H5" t="s">
        <v>264</v>
      </c>
      <c r="J5" s="4" t="b">
        <v>0</v>
      </c>
      <c r="K5" s="4" t="b">
        <v>0</v>
      </c>
    </row>
    <row r="6" spans="1:24" x14ac:dyDescent="0.35">
      <c r="A6" t="s">
        <v>44</v>
      </c>
      <c r="B6" t="s">
        <v>213</v>
      </c>
      <c r="C6" t="s">
        <v>228</v>
      </c>
      <c r="D6" t="s">
        <v>233</v>
      </c>
      <c r="E6" t="s">
        <v>421</v>
      </c>
      <c r="F6" t="s">
        <v>421</v>
      </c>
      <c r="G6" t="s">
        <v>428</v>
      </c>
      <c r="H6" t="s">
        <v>264</v>
      </c>
      <c r="J6" s="4" t="b">
        <v>0</v>
      </c>
      <c r="K6" s="4" t="b">
        <v>0</v>
      </c>
    </row>
    <row r="7" spans="1:24" x14ac:dyDescent="0.35">
      <c r="A7" t="s">
        <v>44</v>
      </c>
      <c r="B7" t="s">
        <v>213</v>
      </c>
      <c r="C7" t="s">
        <v>228</v>
      </c>
      <c r="D7" t="s">
        <v>233</v>
      </c>
      <c r="E7" t="s">
        <v>420</v>
      </c>
      <c r="F7" t="s">
        <v>420</v>
      </c>
      <c r="G7" t="s">
        <v>427</v>
      </c>
      <c r="H7" t="s">
        <v>264</v>
      </c>
      <c r="J7" s="4" t="b">
        <v>0</v>
      </c>
      <c r="K7" s="4" t="b">
        <v>0</v>
      </c>
    </row>
    <row r="8" spans="1:24" x14ac:dyDescent="0.35">
      <c r="A8" t="s">
        <v>44</v>
      </c>
      <c r="B8" t="s">
        <v>213</v>
      </c>
      <c r="C8" t="s">
        <v>228</v>
      </c>
      <c r="D8" t="s">
        <v>233</v>
      </c>
      <c r="E8" t="s">
        <v>570</v>
      </c>
      <c r="F8" t="s">
        <v>570</v>
      </c>
      <c r="G8" t="s">
        <v>572</v>
      </c>
      <c r="H8" t="s">
        <v>264</v>
      </c>
      <c r="J8" s="4" t="b">
        <v>0</v>
      </c>
      <c r="K8" s="4" t="b">
        <v>0</v>
      </c>
    </row>
  </sheetData>
  <autoFilter ref="A1:X8" xr:uid="{00000000-0009-0000-0000-00001E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45</v>
      </c>
      <c r="B2" t="s">
        <v>214</v>
      </c>
      <c r="C2" t="s">
        <v>229</v>
      </c>
      <c r="D2" t="s">
        <v>234</v>
      </c>
      <c r="E2" t="s">
        <v>573</v>
      </c>
      <c r="F2" t="s">
        <v>573</v>
      </c>
      <c r="G2" t="s">
        <v>574</v>
      </c>
      <c r="H2" t="s">
        <v>263</v>
      </c>
      <c r="J2" s="4" t="b">
        <v>0</v>
      </c>
      <c r="K2" s="4" t="b">
        <v>0</v>
      </c>
    </row>
  </sheetData>
  <autoFilter ref="A1:X2" xr:uid="{00000000-0009-0000-0000-00001F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46</v>
      </c>
      <c r="B2" t="s">
        <v>215</v>
      </c>
      <c r="C2" t="s">
        <v>230</v>
      </c>
      <c r="D2" t="s">
        <v>235</v>
      </c>
      <c r="E2" t="s">
        <v>575</v>
      </c>
      <c r="F2" t="s">
        <v>575</v>
      </c>
      <c r="G2" t="s">
        <v>577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46</v>
      </c>
      <c r="B3" t="s">
        <v>215</v>
      </c>
      <c r="C3" t="s">
        <v>230</v>
      </c>
      <c r="D3" t="s">
        <v>235</v>
      </c>
      <c r="E3" t="s">
        <v>576</v>
      </c>
      <c r="F3" t="s">
        <v>576</v>
      </c>
      <c r="G3" t="s">
        <v>578</v>
      </c>
      <c r="H3" t="s">
        <v>264</v>
      </c>
      <c r="J3" s="4" t="b">
        <v>0</v>
      </c>
      <c r="K3" s="4" t="b">
        <v>0</v>
      </c>
      <c r="Q3">
        <v>0</v>
      </c>
    </row>
  </sheetData>
  <autoFilter ref="A1:X3" xr:uid="{00000000-0009-0000-0000-000020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47</v>
      </c>
      <c r="B2" t="s">
        <v>216</v>
      </c>
      <c r="C2" t="s">
        <v>227</v>
      </c>
      <c r="D2" t="s">
        <v>232</v>
      </c>
      <c r="E2" t="s">
        <v>579</v>
      </c>
      <c r="F2" t="s">
        <v>579</v>
      </c>
      <c r="G2" t="s">
        <v>583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47</v>
      </c>
      <c r="B3" t="s">
        <v>216</v>
      </c>
      <c r="C3" t="s">
        <v>227</v>
      </c>
      <c r="D3" t="s">
        <v>232</v>
      </c>
      <c r="E3" t="s">
        <v>580</v>
      </c>
      <c r="F3" t="s">
        <v>580</v>
      </c>
      <c r="G3" t="s">
        <v>584</v>
      </c>
      <c r="H3" t="s">
        <v>264</v>
      </c>
      <c r="J3" s="4" t="b">
        <v>0</v>
      </c>
      <c r="K3" s="4" t="b">
        <v>0</v>
      </c>
    </row>
    <row r="4" spans="1:24" ht="43.5" x14ac:dyDescent="0.35">
      <c r="A4" t="s">
        <v>47</v>
      </c>
      <c r="B4" t="s">
        <v>216</v>
      </c>
      <c r="C4" t="s">
        <v>227</v>
      </c>
      <c r="D4" t="s">
        <v>232</v>
      </c>
      <c r="E4" t="s">
        <v>581</v>
      </c>
      <c r="F4" t="s">
        <v>581</v>
      </c>
      <c r="G4" t="s">
        <v>585</v>
      </c>
      <c r="H4" t="s">
        <v>263</v>
      </c>
      <c r="J4" s="4" t="b">
        <v>0</v>
      </c>
      <c r="K4" s="4" t="b">
        <v>0</v>
      </c>
      <c r="M4" s="1" t="s">
        <v>587</v>
      </c>
      <c r="N4" s="1" t="s">
        <v>589</v>
      </c>
    </row>
    <row r="5" spans="1:24" ht="58" x14ac:dyDescent="0.35">
      <c r="A5" t="s">
        <v>47</v>
      </c>
      <c r="B5" t="s">
        <v>216</v>
      </c>
      <c r="C5" t="s">
        <v>227</v>
      </c>
      <c r="D5" t="s">
        <v>232</v>
      </c>
      <c r="E5" t="s">
        <v>582</v>
      </c>
      <c r="F5" t="s">
        <v>582</v>
      </c>
      <c r="G5" t="s">
        <v>586</v>
      </c>
      <c r="H5" t="s">
        <v>263</v>
      </c>
      <c r="J5" s="4" t="b">
        <v>0</v>
      </c>
      <c r="K5" s="4" t="b">
        <v>0</v>
      </c>
      <c r="M5" s="1" t="s">
        <v>588</v>
      </c>
      <c r="N5" s="1" t="s">
        <v>590</v>
      </c>
    </row>
  </sheetData>
  <autoFilter ref="A1:X5" xr:uid="{00000000-0009-0000-0000-000021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48</v>
      </c>
      <c r="B2" t="s">
        <v>217</v>
      </c>
      <c r="C2" t="s">
        <v>230</v>
      </c>
      <c r="D2" t="s">
        <v>235</v>
      </c>
      <c r="E2" t="s">
        <v>591</v>
      </c>
      <c r="F2" t="s">
        <v>591</v>
      </c>
      <c r="G2" t="s">
        <v>595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48</v>
      </c>
      <c r="B3" t="s">
        <v>217</v>
      </c>
      <c r="C3" t="s">
        <v>230</v>
      </c>
      <c r="D3" t="s">
        <v>235</v>
      </c>
      <c r="E3" t="s">
        <v>592</v>
      </c>
      <c r="F3" t="s">
        <v>592</v>
      </c>
      <c r="G3" t="s">
        <v>596</v>
      </c>
      <c r="H3" t="s">
        <v>264</v>
      </c>
      <c r="J3" s="4" t="b">
        <v>0</v>
      </c>
      <c r="K3" s="4" t="b">
        <v>0</v>
      </c>
    </row>
    <row r="4" spans="1:24" ht="72.5" x14ac:dyDescent="0.35">
      <c r="A4" t="s">
        <v>48</v>
      </c>
      <c r="B4" t="s">
        <v>217</v>
      </c>
      <c r="C4" t="s">
        <v>230</v>
      </c>
      <c r="D4" t="s">
        <v>235</v>
      </c>
      <c r="E4" t="s">
        <v>593</v>
      </c>
      <c r="F4" t="s">
        <v>593</v>
      </c>
      <c r="G4" t="s">
        <v>597</v>
      </c>
      <c r="H4" t="s">
        <v>263</v>
      </c>
      <c r="J4" s="4" t="b">
        <v>0</v>
      </c>
      <c r="K4" s="4" t="b">
        <v>0</v>
      </c>
      <c r="M4" s="1" t="s">
        <v>599</v>
      </c>
      <c r="N4" s="1" t="s">
        <v>601</v>
      </c>
    </row>
    <row r="5" spans="1:24" ht="116" x14ac:dyDescent="0.35">
      <c r="A5" t="s">
        <v>48</v>
      </c>
      <c r="B5" t="s">
        <v>217</v>
      </c>
      <c r="C5" t="s">
        <v>230</v>
      </c>
      <c r="D5" t="s">
        <v>235</v>
      </c>
      <c r="E5" t="s">
        <v>594</v>
      </c>
      <c r="F5" t="s">
        <v>594</v>
      </c>
      <c r="G5" t="s">
        <v>598</v>
      </c>
      <c r="H5" t="s">
        <v>263</v>
      </c>
      <c r="J5" s="4" t="b">
        <v>0</v>
      </c>
      <c r="K5" s="4" t="b">
        <v>0</v>
      </c>
      <c r="M5" s="1" t="s">
        <v>600</v>
      </c>
      <c r="N5" s="1" t="s">
        <v>602</v>
      </c>
    </row>
  </sheetData>
  <autoFilter ref="A1:X5" xr:uid="{00000000-0009-0000-0000-000022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49</v>
      </c>
      <c r="B2" t="s">
        <v>218</v>
      </c>
      <c r="C2" t="s">
        <v>227</v>
      </c>
      <c r="D2" t="s">
        <v>232</v>
      </c>
      <c r="E2" t="s">
        <v>603</v>
      </c>
      <c r="F2" t="s">
        <v>603</v>
      </c>
      <c r="G2" t="s">
        <v>610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49</v>
      </c>
      <c r="B3" t="s">
        <v>218</v>
      </c>
      <c r="C3" t="s">
        <v>227</v>
      </c>
      <c r="D3" t="s">
        <v>232</v>
      </c>
      <c r="E3" t="s">
        <v>604</v>
      </c>
      <c r="F3" t="s">
        <v>604</v>
      </c>
      <c r="G3" t="s">
        <v>611</v>
      </c>
      <c r="H3" t="s">
        <v>264</v>
      </c>
      <c r="J3" s="4" t="b">
        <v>0</v>
      </c>
      <c r="K3" s="4" t="b">
        <v>0</v>
      </c>
      <c r="Q3">
        <v>0</v>
      </c>
      <c r="R3">
        <v>360</v>
      </c>
    </row>
    <row r="4" spans="1:24" x14ac:dyDescent="0.35">
      <c r="A4" t="s">
        <v>49</v>
      </c>
      <c r="B4" t="s">
        <v>218</v>
      </c>
      <c r="C4" t="s">
        <v>227</v>
      </c>
      <c r="D4" t="s">
        <v>232</v>
      </c>
      <c r="E4" t="s">
        <v>605</v>
      </c>
      <c r="F4" t="s">
        <v>605</v>
      </c>
      <c r="G4" t="s">
        <v>612</v>
      </c>
      <c r="H4" t="s">
        <v>264</v>
      </c>
      <c r="J4" s="4" t="b">
        <v>0</v>
      </c>
      <c r="K4" s="4" t="b">
        <v>0</v>
      </c>
      <c r="Q4">
        <v>0</v>
      </c>
    </row>
    <row r="5" spans="1:24" x14ac:dyDescent="0.35">
      <c r="A5" t="s">
        <v>49</v>
      </c>
      <c r="B5" t="s">
        <v>218</v>
      </c>
      <c r="C5" t="s">
        <v>227</v>
      </c>
      <c r="D5" t="s">
        <v>232</v>
      </c>
      <c r="E5" t="s">
        <v>606</v>
      </c>
      <c r="F5" t="s">
        <v>606</v>
      </c>
      <c r="G5" t="s">
        <v>613</v>
      </c>
      <c r="H5" t="s">
        <v>264</v>
      </c>
      <c r="J5" s="4" t="b">
        <v>0</v>
      </c>
      <c r="K5" s="4" t="b">
        <v>0</v>
      </c>
      <c r="Q5">
        <v>0</v>
      </c>
    </row>
    <row r="6" spans="1:24" ht="43.5" x14ac:dyDescent="0.35">
      <c r="A6" t="s">
        <v>49</v>
      </c>
      <c r="B6" t="s">
        <v>218</v>
      </c>
      <c r="C6" t="s">
        <v>227</v>
      </c>
      <c r="D6" t="s">
        <v>232</v>
      </c>
      <c r="E6" t="s">
        <v>607</v>
      </c>
      <c r="F6" t="s">
        <v>607</v>
      </c>
      <c r="G6" t="s">
        <v>614</v>
      </c>
      <c r="H6" t="s">
        <v>263</v>
      </c>
      <c r="J6" s="4" t="b">
        <v>0</v>
      </c>
      <c r="K6" s="4" t="b">
        <v>0</v>
      </c>
      <c r="M6" s="1" t="s">
        <v>616</v>
      </c>
      <c r="N6" s="1" t="s">
        <v>618</v>
      </c>
    </row>
    <row r="7" spans="1:24" ht="72.5" x14ac:dyDescent="0.35">
      <c r="A7" t="s">
        <v>49</v>
      </c>
      <c r="B7" t="s">
        <v>218</v>
      </c>
      <c r="C7" t="s">
        <v>227</v>
      </c>
      <c r="D7" t="s">
        <v>232</v>
      </c>
      <c r="E7" t="s">
        <v>608</v>
      </c>
      <c r="F7" t="s">
        <v>608</v>
      </c>
      <c r="G7" t="s">
        <v>615</v>
      </c>
      <c r="H7" t="s">
        <v>263</v>
      </c>
      <c r="J7" s="4" t="b">
        <v>0</v>
      </c>
      <c r="K7" s="4" t="b">
        <v>0</v>
      </c>
      <c r="M7" s="1" t="s">
        <v>617</v>
      </c>
      <c r="N7" s="1" t="s">
        <v>619</v>
      </c>
    </row>
    <row r="8" spans="1:24" x14ac:dyDescent="0.35">
      <c r="A8" t="s">
        <v>49</v>
      </c>
      <c r="B8" t="s">
        <v>218</v>
      </c>
      <c r="C8" t="s">
        <v>227</v>
      </c>
      <c r="D8" t="s">
        <v>232</v>
      </c>
      <c r="E8" t="s">
        <v>609</v>
      </c>
      <c r="F8" t="s">
        <v>609</v>
      </c>
      <c r="G8" t="s">
        <v>279</v>
      </c>
      <c r="H8" t="s">
        <v>263</v>
      </c>
      <c r="J8" s="4" t="b">
        <v>0</v>
      </c>
      <c r="K8" s="4" t="b">
        <v>0</v>
      </c>
    </row>
  </sheetData>
  <autoFilter ref="A1:X8" xr:uid="{00000000-0009-0000-0000-000023000000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50</v>
      </c>
      <c r="B2" t="s">
        <v>219</v>
      </c>
      <c r="C2" t="s">
        <v>228</v>
      </c>
      <c r="D2" t="s">
        <v>233</v>
      </c>
      <c r="E2" t="s">
        <v>620</v>
      </c>
      <c r="F2" t="s">
        <v>620</v>
      </c>
      <c r="G2" t="s">
        <v>623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50</v>
      </c>
      <c r="B3" t="s">
        <v>219</v>
      </c>
      <c r="C3" t="s">
        <v>228</v>
      </c>
      <c r="D3" t="s">
        <v>233</v>
      </c>
      <c r="E3" t="s">
        <v>621</v>
      </c>
      <c r="F3" t="s">
        <v>621</v>
      </c>
      <c r="G3" t="s">
        <v>624</v>
      </c>
      <c r="H3" t="s">
        <v>263</v>
      </c>
      <c r="J3" s="4" t="b">
        <v>0</v>
      </c>
      <c r="K3" s="4" t="b">
        <v>0</v>
      </c>
    </row>
    <row r="4" spans="1:24" x14ac:dyDescent="0.35">
      <c r="A4" t="s">
        <v>50</v>
      </c>
      <c r="B4" t="s">
        <v>219</v>
      </c>
      <c r="C4" t="s">
        <v>228</v>
      </c>
      <c r="D4" t="s">
        <v>233</v>
      </c>
      <c r="E4" t="s">
        <v>622</v>
      </c>
      <c r="F4" t="s">
        <v>622</v>
      </c>
      <c r="G4" t="s">
        <v>625</v>
      </c>
      <c r="H4" t="s">
        <v>263</v>
      </c>
      <c r="J4" s="4" t="b">
        <v>0</v>
      </c>
      <c r="K4" s="4" t="b">
        <v>0</v>
      </c>
    </row>
  </sheetData>
  <autoFilter ref="A1:X4" xr:uid="{00000000-0009-0000-0000-000024000000}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X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51</v>
      </c>
      <c r="B2" t="s">
        <v>220</v>
      </c>
      <c r="C2" t="s">
        <v>228</v>
      </c>
      <c r="D2" t="s">
        <v>233</v>
      </c>
      <c r="E2" t="s">
        <v>620</v>
      </c>
      <c r="F2" t="s">
        <v>620</v>
      </c>
      <c r="G2" t="s">
        <v>392</v>
      </c>
      <c r="H2" t="s">
        <v>264</v>
      </c>
      <c r="J2" s="4" t="b">
        <v>0</v>
      </c>
      <c r="K2" s="4" t="b">
        <v>0</v>
      </c>
    </row>
    <row r="3" spans="1:24" x14ac:dyDescent="0.35">
      <c r="A3" t="s">
        <v>51</v>
      </c>
      <c r="B3" t="s">
        <v>220</v>
      </c>
      <c r="C3" t="s">
        <v>228</v>
      </c>
      <c r="D3" t="s">
        <v>233</v>
      </c>
      <c r="E3" t="s">
        <v>626</v>
      </c>
      <c r="F3" t="s">
        <v>626</v>
      </c>
      <c r="G3" t="s">
        <v>393</v>
      </c>
      <c r="H3" t="s">
        <v>264</v>
      </c>
      <c r="J3" s="4" t="b">
        <v>0</v>
      </c>
      <c r="K3" s="4" t="b">
        <v>0</v>
      </c>
    </row>
    <row r="4" spans="1:24" x14ac:dyDescent="0.35">
      <c r="A4" t="s">
        <v>51</v>
      </c>
      <c r="B4" t="s">
        <v>220</v>
      </c>
      <c r="C4" t="s">
        <v>228</v>
      </c>
      <c r="D4" t="s">
        <v>233</v>
      </c>
      <c r="E4" t="s">
        <v>627</v>
      </c>
      <c r="F4" t="s">
        <v>627</v>
      </c>
      <c r="G4" t="s">
        <v>631</v>
      </c>
      <c r="H4" t="s">
        <v>263</v>
      </c>
      <c r="J4" s="4" t="b">
        <v>0</v>
      </c>
      <c r="K4" s="4" t="b">
        <v>0</v>
      </c>
    </row>
    <row r="5" spans="1:24" x14ac:dyDescent="0.35">
      <c r="A5" t="s">
        <v>51</v>
      </c>
      <c r="B5" t="s">
        <v>220</v>
      </c>
      <c r="C5" t="s">
        <v>228</v>
      </c>
      <c r="D5" t="s">
        <v>233</v>
      </c>
      <c r="E5" t="s">
        <v>628</v>
      </c>
      <c r="F5" t="s">
        <v>628</v>
      </c>
      <c r="G5" t="s">
        <v>632</v>
      </c>
      <c r="H5" t="s">
        <v>263</v>
      </c>
      <c r="J5" s="4" t="b">
        <v>0</v>
      </c>
      <c r="K5" s="4" t="b">
        <v>0</v>
      </c>
    </row>
    <row r="6" spans="1:24" x14ac:dyDescent="0.35">
      <c r="A6" t="s">
        <v>51</v>
      </c>
      <c r="B6" t="s">
        <v>220</v>
      </c>
      <c r="C6" t="s">
        <v>228</v>
      </c>
      <c r="D6" t="s">
        <v>233</v>
      </c>
      <c r="E6" t="s">
        <v>629</v>
      </c>
      <c r="F6" t="s">
        <v>629</v>
      </c>
      <c r="G6" t="s">
        <v>633</v>
      </c>
      <c r="H6" t="s">
        <v>263</v>
      </c>
      <c r="J6" s="4" t="b">
        <v>0</v>
      </c>
      <c r="K6" s="4" t="b">
        <v>0</v>
      </c>
    </row>
    <row r="7" spans="1:24" x14ac:dyDescent="0.35">
      <c r="A7" t="s">
        <v>51</v>
      </c>
      <c r="B7" t="s">
        <v>220</v>
      </c>
      <c r="C7" t="s">
        <v>228</v>
      </c>
      <c r="D7" t="s">
        <v>233</v>
      </c>
      <c r="E7" t="s">
        <v>621</v>
      </c>
      <c r="F7" t="s">
        <v>621</v>
      </c>
      <c r="G7" t="s">
        <v>634</v>
      </c>
      <c r="H7" t="s">
        <v>263</v>
      </c>
      <c r="J7" s="4" t="b">
        <v>0</v>
      </c>
      <c r="K7" s="4" t="b">
        <v>0</v>
      </c>
    </row>
    <row r="8" spans="1:24" x14ac:dyDescent="0.35">
      <c r="A8" t="s">
        <v>51</v>
      </c>
      <c r="B8" t="s">
        <v>220</v>
      </c>
      <c r="C8" t="s">
        <v>228</v>
      </c>
      <c r="D8" t="s">
        <v>233</v>
      </c>
      <c r="E8" t="s">
        <v>630</v>
      </c>
      <c r="F8" t="s">
        <v>630</v>
      </c>
      <c r="G8" t="s">
        <v>635</v>
      </c>
      <c r="H8" t="s">
        <v>263</v>
      </c>
      <c r="J8" s="4" t="b">
        <v>0</v>
      </c>
      <c r="K8" s="4" t="b">
        <v>0</v>
      </c>
    </row>
  </sheetData>
  <autoFilter ref="A1:X8" xr:uid="{00000000-0009-0000-0000-000025000000}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52</v>
      </c>
      <c r="B2" t="s">
        <v>221</v>
      </c>
      <c r="C2" t="s">
        <v>227</v>
      </c>
      <c r="D2" t="s">
        <v>232</v>
      </c>
      <c r="E2" t="s">
        <v>636</v>
      </c>
      <c r="F2" t="s">
        <v>636</v>
      </c>
      <c r="G2" t="s">
        <v>639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52</v>
      </c>
      <c r="B3" t="s">
        <v>221</v>
      </c>
      <c r="C3" t="s">
        <v>227</v>
      </c>
      <c r="D3" t="s">
        <v>232</v>
      </c>
      <c r="E3" t="s">
        <v>637</v>
      </c>
      <c r="F3" t="s">
        <v>637</v>
      </c>
      <c r="G3" t="s">
        <v>640</v>
      </c>
      <c r="H3" t="s">
        <v>263</v>
      </c>
      <c r="J3" s="4" t="b">
        <v>0</v>
      </c>
      <c r="K3" s="4" t="b">
        <v>0</v>
      </c>
    </row>
    <row r="4" spans="1:24" x14ac:dyDescent="0.35">
      <c r="A4" t="s">
        <v>52</v>
      </c>
      <c r="B4" t="s">
        <v>221</v>
      </c>
      <c r="C4" t="s">
        <v>227</v>
      </c>
      <c r="D4" t="s">
        <v>232</v>
      </c>
      <c r="E4" t="s">
        <v>638</v>
      </c>
      <c r="F4" t="s">
        <v>638</v>
      </c>
      <c r="G4" t="s">
        <v>550</v>
      </c>
      <c r="H4" t="s">
        <v>263</v>
      </c>
      <c r="J4" s="4" t="b">
        <v>0</v>
      </c>
      <c r="K4" s="4" t="b">
        <v>0</v>
      </c>
    </row>
  </sheetData>
  <autoFilter ref="A1:X4" xr:uid="{00000000-0009-0000-0000-000026000000}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X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53</v>
      </c>
      <c r="B2" t="s">
        <v>222</v>
      </c>
      <c r="C2" t="s">
        <v>227</v>
      </c>
      <c r="D2" t="s">
        <v>232</v>
      </c>
      <c r="E2" t="s">
        <v>641</v>
      </c>
      <c r="F2" t="s">
        <v>641</v>
      </c>
      <c r="G2" t="s">
        <v>645</v>
      </c>
      <c r="H2" t="s">
        <v>264</v>
      </c>
      <c r="J2" s="4" t="b">
        <v>0</v>
      </c>
      <c r="K2" s="4" t="b">
        <v>0</v>
      </c>
    </row>
    <row r="3" spans="1:24" ht="29" x14ac:dyDescent="0.35">
      <c r="A3" t="s">
        <v>53</v>
      </c>
      <c r="B3" t="s">
        <v>222</v>
      </c>
      <c r="C3" t="s">
        <v>227</v>
      </c>
      <c r="D3" t="s">
        <v>232</v>
      </c>
      <c r="E3" t="s">
        <v>642</v>
      </c>
      <c r="F3" t="s">
        <v>642</v>
      </c>
      <c r="G3" t="s">
        <v>410</v>
      </c>
      <c r="H3" t="s">
        <v>263</v>
      </c>
      <c r="J3" s="4" t="b">
        <v>0</v>
      </c>
      <c r="K3" s="4" t="b">
        <v>0</v>
      </c>
      <c r="M3" s="1" t="s">
        <v>648</v>
      </c>
      <c r="N3" s="1" t="s">
        <v>650</v>
      </c>
    </row>
    <row r="4" spans="1:24" ht="29" x14ac:dyDescent="0.35">
      <c r="A4" t="s">
        <v>53</v>
      </c>
      <c r="B4" t="s">
        <v>222</v>
      </c>
      <c r="C4" t="s">
        <v>227</v>
      </c>
      <c r="D4" t="s">
        <v>232</v>
      </c>
      <c r="E4" t="s">
        <v>643</v>
      </c>
      <c r="F4" t="s">
        <v>643</v>
      </c>
      <c r="G4" t="s">
        <v>646</v>
      </c>
      <c r="H4" t="s">
        <v>263</v>
      </c>
      <c r="J4" s="4" t="b">
        <v>0</v>
      </c>
      <c r="K4" s="4" t="b">
        <v>0</v>
      </c>
      <c r="M4" s="1" t="s">
        <v>649</v>
      </c>
      <c r="N4" s="1" t="s">
        <v>651</v>
      </c>
    </row>
    <row r="5" spans="1:24" x14ac:dyDescent="0.35">
      <c r="A5" t="s">
        <v>53</v>
      </c>
      <c r="B5" t="s">
        <v>222</v>
      </c>
      <c r="C5" t="s">
        <v>227</v>
      </c>
      <c r="D5" t="s">
        <v>232</v>
      </c>
      <c r="E5" t="s">
        <v>644</v>
      </c>
      <c r="F5" t="s">
        <v>644</v>
      </c>
      <c r="G5" t="s">
        <v>647</v>
      </c>
      <c r="H5" t="s">
        <v>263</v>
      </c>
      <c r="J5" s="4" t="b">
        <v>0</v>
      </c>
      <c r="K5" s="4" t="b">
        <v>0</v>
      </c>
    </row>
  </sheetData>
  <autoFilter ref="A1:X5" xr:uid="{00000000-0009-0000-0000-000027000000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X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43.5" x14ac:dyDescent="0.35">
      <c r="A2" t="s">
        <v>54</v>
      </c>
      <c r="B2" t="s">
        <v>223</v>
      </c>
      <c r="C2" t="s">
        <v>227</v>
      </c>
      <c r="D2" t="s">
        <v>232</v>
      </c>
      <c r="E2" t="s">
        <v>652</v>
      </c>
      <c r="F2" t="s">
        <v>652</v>
      </c>
      <c r="G2" t="s">
        <v>657</v>
      </c>
      <c r="H2" t="s">
        <v>263</v>
      </c>
      <c r="J2" s="4" t="b">
        <v>0</v>
      </c>
      <c r="K2" s="4" t="b">
        <v>0</v>
      </c>
      <c r="M2" s="1" t="s">
        <v>662</v>
      </c>
      <c r="N2" s="1" t="s">
        <v>664</v>
      </c>
    </row>
    <row r="3" spans="1:24" x14ac:dyDescent="0.35">
      <c r="A3" t="s">
        <v>54</v>
      </c>
      <c r="B3" t="s">
        <v>223</v>
      </c>
      <c r="C3" t="s">
        <v>227</v>
      </c>
      <c r="D3" t="s">
        <v>232</v>
      </c>
      <c r="E3" t="s">
        <v>653</v>
      </c>
      <c r="F3" t="s">
        <v>653</v>
      </c>
      <c r="G3" t="s">
        <v>658</v>
      </c>
      <c r="H3" t="s">
        <v>264</v>
      </c>
      <c r="J3" s="4" t="b">
        <v>0</v>
      </c>
      <c r="K3" s="4" t="b">
        <v>0</v>
      </c>
      <c r="Q3">
        <v>0</v>
      </c>
    </row>
    <row r="4" spans="1:24" x14ac:dyDescent="0.35">
      <c r="A4" t="s">
        <v>54</v>
      </c>
      <c r="B4" t="s">
        <v>223</v>
      </c>
      <c r="C4" t="s">
        <v>227</v>
      </c>
      <c r="D4" t="s">
        <v>232</v>
      </c>
      <c r="E4" t="s">
        <v>654</v>
      </c>
      <c r="F4" t="s">
        <v>654</v>
      </c>
      <c r="G4" t="s">
        <v>659</v>
      </c>
      <c r="H4" t="s">
        <v>264</v>
      </c>
      <c r="J4" s="4" t="b">
        <v>0</v>
      </c>
      <c r="K4" s="4" t="b">
        <v>0</v>
      </c>
      <c r="Q4">
        <v>0</v>
      </c>
      <c r="R4">
        <v>360</v>
      </c>
    </row>
    <row r="5" spans="1:24" ht="29" x14ac:dyDescent="0.35">
      <c r="A5" t="s">
        <v>54</v>
      </c>
      <c r="B5" t="s">
        <v>223</v>
      </c>
      <c r="C5" t="s">
        <v>227</v>
      </c>
      <c r="D5" t="s">
        <v>232</v>
      </c>
      <c r="E5" t="s">
        <v>655</v>
      </c>
      <c r="F5" t="s">
        <v>655</v>
      </c>
      <c r="G5" t="s">
        <v>660</v>
      </c>
      <c r="H5" t="s">
        <v>263</v>
      </c>
      <c r="J5" s="4" t="b">
        <v>0</v>
      </c>
      <c r="K5" s="4" t="b">
        <v>0</v>
      </c>
      <c r="M5" s="1" t="s">
        <v>663</v>
      </c>
      <c r="N5" s="1" t="s">
        <v>665</v>
      </c>
    </row>
    <row r="6" spans="1:24" x14ac:dyDescent="0.35">
      <c r="A6" t="s">
        <v>54</v>
      </c>
      <c r="B6" t="s">
        <v>223</v>
      </c>
      <c r="C6" t="s">
        <v>227</v>
      </c>
      <c r="D6" t="s">
        <v>232</v>
      </c>
      <c r="E6" t="s">
        <v>656</v>
      </c>
      <c r="F6" t="s">
        <v>656</v>
      </c>
      <c r="G6" t="s">
        <v>661</v>
      </c>
      <c r="H6" t="s">
        <v>263</v>
      </c>
      <c r="J6" s="4" t="b">
        <v>0</v>
      </c>
      <c r="K6" s="4" t="b">
        <v>0</v>
      </c>
    </row>
  </sheetData>
  <autoFilter ref="A1:X6" xr:uid="{00000000-0009-0000-0000-000028000000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X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x14ac:dyDescent="0.35">
      <c r="A2" t="s">
        <v>55</v>
      </c>
      <c r="B2" t="s">
        <v>224</v>
      </c>
      <c r="C2" t="s">
        <v>228</v>
      </c>
      <c r="D2" t="s">
        <v>233</v>
      </c>
      <c r="E2" t="s">
        <v>666</v>
      </c>
      <c r="F2" t="s">
        <v>666</v>
      </c>
      <c r="G2" t="s">
        <v>674</v>
      </c>
      <c r="H2" t="s">
        <v>263</v>
      </c>
      <c r="J2" s="4" t="b">
        <v>0</v>
      </c>
      <c r="K2" s="4" t="b">
        <v>0</v>
      </c>
    </row>
    <row r="3" spans="1:24" x14ac:dyDescent="0.35">
      <c r="A3" t="s">
        <v>55</v>
      </c>
      <c r="B3" t="s">
        <v>224</v>
      </c>
      <c r="C3" t="s">
        <v>228</v>
      </c>
      <c r="D3" t="s">
        <v>233</v>
      </c>
      <c r="E3" t="s">
        <v>667</v>
      </c>
      <c r="F3" t="s">
        <v>667</v>
      </c>
      <c r="G3" t="s">
        <v>675</v>
      </c>
      <c r="H3" t="s">
        <v>264</v>
      </c>
      <c r="J3" s="4" t="b">
        <v>0</v>
      </c>
      <c r="K3" s="4" t="b">
        <v>0</v>
      </c>
    </row>
    <row r="4" spans="1:24" x14ac:dyDescent="0.35">
      <c r="A4" t="s">
        <v>55</v>
      </c>
      <c r="B4" t="s">
        <v>224</v>
      </c>
      <c r="C4" t="s">
        <v>228</v>
      </c>
      <c r="D4" t="s">
        <v>233</v>
      </c>
      <c r="E4" t="s">
        <v>668</v>
      </c>
      <c r="F4" t="s">
        <v>668</v>
      </c>
      <c r="G4" t="s">
        <v>676</v>
      </c>
      <c r="H4" t="s">
        <v>264</v>
      </c>
      <c r="J4" s="4" t="b">
        <v>0</v>
      </c>
      <c r="K4" s="4" t="b">
        <v>0</v>
      </c>
    </row>
    <row r="5" spans="1:24" x14ac:dyDescent="0.35">
      <c r="A5" t="s">
        <v>55</v>
      </c>
      <c r="B5" t="s">
        <v>224</v>
      </c>
      <c r="C5" t="s">
        <v>228</v>
      </c>
      <c r="D5" t="s">
        <v>233</v>
      </c>
      <c r="E5" t="s">
        <v>669</v>
      </c>
      <c r="F5" t="s">
        <v>669</v>
      </c>
      <c r="G5" t="s">
        <v>677</v>
      </c>
      <c r="H5" t="s">
        <v>263</v>
      </c>
      <c r="J5" s="4" t="b">
        <v>0</v>
      </c>
      <c r="K5" s="4" t="b">
        <v>0</v>
      </c>
    </row>
    <row r="6" spans="1:24" x14ac:dyDescent="0.35">
      <c r="A6" t="s">
        <v>55</v>
      </c>
      <c r="B6" t="s">
        <v>224</v>
      </c>
      <c r="C6" t="s">
        <v>228</v>
      </c>
      <c r="D6" t="s">
        <v>233</v>
      </c>
      <c r="E6" t="s">
        <v>670</v>
      </c>
      <c r="F6" t="s">
        <v>670</v>
      </c>
      <c r="G6" t="s">
        <v>678</v>
      </c>
      <c r="H6" t="s">
        <v>263</v>
      </c>
      <c r="J6" s="4" t="b">
        <v>0</v>
      </c>
      <c r="K6" s="4" t="b">
        <v>0</v>
      </c>
    </row>
    <row r="7" spans="1:24" x14ac:dyDescent="0.35">
      <c r="A7" t="s">
        <v>55</v>
      </c>
      <c r="B7" t="s">
        <v>224</v>
      </c>
      <c r="C7" t="s">
        <v>228</v>
      </c>
      <c r="D7" t="s">
        <v>233</v>
      </c>
      <c r="E7" t="s">
        <v>671</v>
      </c>
      <c r="F7" t="s">
        <v>671</v>
      </c>
      <c r="G7" t="s">
        <v>679</v>
      </c>
      <c r="H7" t="s">
        <v>264</v>
      </c>
      <c r="J7" s="4" t="b">
        <v>0</v>
      </c>
      <c r="K7" s="4" t="b">
        <v>0</v>
      </c>
    </row>
    <row r="8" spans="1:24" x14ac:dyDescent="0.35">
      <c r="A8" t="s">
        <v>55</v>
      </c>
      <c r="B8" t="s">
        <v>224</v>
      </c>
      <c r="C8" t="s">
        <v>228</v>
      </c>
      <c r="D8" t="s">
        <v>233</v>
      </c>
      <c r="E8" t="s">
        <v>672</v>
      </c>
      <c r="F8" t="s">
        <v>672</v>
      </c>
      <c r="G8" t="s">
        <v>680</v>
      </c>
      <c r="H8" t="s">
        <v>264</v>
      </c>
      <c r="J8" s="4" t="b">
        <v>0</v>
      </c>
      <c r="K8" s="4" t="b">
        <v>0</v>
      </c>
    </row>
    <row r="9" spans="1:24" x14ac:dyDescent="0.35">
      <c r="A9" t="s">
        <v>55</v>
      </c>
      <c r="B9" t="s">
        <v>224</v>
      </c>
      <c r="C9" t="s">
        <v>228</v>
      </c>
      <c r="D9" t="s">
        <v>233</v>
      </c>
      <c r="E9" t="s">
        <v>673</v>
      </c>
      <c r="F9" t="s">
        <v>673</v>
      </c>
      <c r="G9" t="s">
        <v>681</v>
      </c>
      <c r="H9" t="s">
        <v>263</v>
      </c>
      <c r="J9" s="4" t="b">
        <v>0</v>
      </c>
      <c r="K9" s="4" t="b">
        <v>0</v>
      </c>
    </row>
    <row r="10" spans="1:24" x14ac:dyDescent="0.35">
      <c r="A10" t="s">
        <v>55</v>
      </c>
      <c r="B10" t="s">
        <v>224</v>
      </c>
      <c r="C10" t="s">
        <v>228</v>
      </c>
      <c r="D10" t="s">
        <v>233</v>
      </c>
      <c r="E10" t="s">
        <v>570</v>
      </c>
      <c r="F10" t="s">
        <v>570</v>
      </c>
      <c r="G10" t="s">
        <v>682</v>
      </c>
      <c r="H10" t="s">
        <v>264</v>
      </c>
      <c r="J10" s="4" t="b">
        <v>0</v>
      </c>
      <c r="K10" s="4" t="b">
        <v>0</v>
      </c>
    </row>
    <row r="11" spans="1:24" x14ac:dyDescent="0.35">
      <c r="A11" t="s">
        <v>55</v>
      </c>
      <c r="B11" t="s">
        <v>224</v>
      </c>
      <c r="C11" t="s">
        <v>228</v>
      </c>
      <c r="D11" t="s">
        <v>233</v>
      </c>
      <c r="E11" t="s">
        <v>420</v>
      </c>
      <c r="F11" t="s">
        <v>420</v>
      </c>
      <c r="G11" t="s">
        <v>427</v>
      </c>
      <c r="H11" t="s">
        <v>264</v>
      </c>
      <c r="J11" s="4" t="b">
        <v>0</v>
      </c>
      <c r="K11" s="4" t="b">
        <v>0</v>
      </c>
    </row>
  </sheetData>
  <autoFilter ref="A1:X11" xr:uid="{00000000-0009-0000-0000-000029000000}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X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101.5" x14ac:dyDescent="0.35">
      <c r="A2" t="s">
        <v>56</v>
      </c>
      <c r="B2" t="s">
        <v>225</v>
      </c>
      <c r="C2" t="s">
        <v>227</v>
      </c>
      <c r="D2" t="s">
        <v>232</v>
      </c>
      <c r="E2" t="s">
        <v>683</v>
      </c>
      <c r="F2" t="s">
        <v>683</v>
      </c>
      <c r="G2" t="s">
        <v>276</v>
      </c>
      <c r="H2" t="s">
        <v>263</v>
      </c>
      <c r="J2" s="4" t="b">
        <v>0</v>
      </c>
      <c r="K2" s="4" t="b">
        <v>0</v>
      </c>
      <c r="M2" s="1" t="s">
        <v>693</v>
      </c>
      <c r="N2" s="1" t="s">
        <v>695</v>
      </c>
    </row>
    <row r="3" spans="1:24" x14ac:dyDescent="0.35">
      <c r="A3" t="s">
        <v>56</v>
      </c>
      <c r="B3" t="s">
        <v>225</v>
      </c>
      <c r="C3" t="s">
        <v>227</v>
      </c>
      <c r="D3" t="s">
        <v>232</v>
      </c>
      <c r="E3" t="s">
        <v>684</v>
      </c>
      <c r="F3" t="s">
        <v>684</v>
      </c>
      <c r="G3" t="s">
        <v>277</v>
      </c>
      <c r="H3" t="s">
        <v>264</v>
      </c>
      <c r="J3" s="4" t="b">
        <v>0</v>
      </c>
      <c r="K3" s="4" t="b">
        <v>0</v>
      </c>
      <c r="Q3">
        <v>0</v>
      </c>
      <c r="R3">
        <v>360</v>
      </c>
    </row>
    <row r="4" spans="1:24" x14ac:dyDescent="0.35">
      <c r="A4" t="s">
        <v>56</v>
      </c>
      <c r="B4" t="s">
        <v>225</v>
      </c>
      <c r="C4" t="s">
        <v>227</v>
      </c>
      <c r="D4" t="s">
        <v>232</v>
      </c>
      <c r="E4" t="s">
        <v>685</v>
      </c>
      <c r="F4" t="s">
        <v>685</v>
      </c>
      <c r="G4" t="s">
        <v>278</v>
      </c>
      <c r="H4" t="s">
        <v>264</v>
      </c>
      <c r="J4" s="4" t="b">
        <v>0</v>
      </c>
      <c r="K4" s="4" t="b">
        <v>0</v>
      </c>
      <c r="Q4">
        <v>0</v>
      </c>
    </row>
    <row r="5" spans="1:24" ht="72.5" x14ac:dyDescent="0.35">
      <c r="A5" t="s">
        <v>56</v>
      </c>
      <c r="B5" t="s">
        <v>225</v>
      </c>
      <c r="C5" t="s">
        <v>227</v>
      </c>
      <c r="D5" t="s">
        <v>232</v>
      </c>
      <c r="E5" t="s">
        <v>686</v>
      </c>
      <c r="F5" t="s">
        <v>686</v>
      </c>
      <c r="G5" t="s">
        <v>690</v>
      </c>
      <c r="H5" t="s">
        <v>263</v>
      </c>
      <c r="J5" s="4" t="b">
        <v>0</v>
      </c>
      <c r="K5" s="4" t="b">
        <v>0</v>
      </c>
      <c r="M5" s="1" t="s">
        <v>694</v>
      </c>
      <c r="N5" s="1" t="s">
        <v>696</v>
      </c>
    </row>
    <row r="6" spans="1:24" x14ac:dyDescent="0.35">
      <c r="A6" t="s">
        <v>56</v>
      </c>
      <c r="B6" t="s">
        <v>225</v>
      </c>
      <c r="C6" t="s">
        <v>227</v>
      </c>
      <c r="D6" t="s">
        <v>232</v>
      </c>
      <c r="E6" t="s">
        <v>687</v>
      </c>
      <c r="F6" t="s">
        <v>687</v>
      </c>
      <c r="G6" t="s">
        <v>691</v>
      </c>
      <c r="H6" t="s">
        <v>263</v>
      </c>
      <c r="J6" s="4" t="b">
        <v>0</v>
      </c>
      <c r="K6" s="4" t="b">
        <v>0</v>
      </c>
    </row>
    <row r="7" spans="1:24" x14ac:dyDescent="0.35">
      <c r="A7" t="s">
        <v>56</v>
      </c>
      <c r="B7" t="s">
        <v>225</v>
      </c>
      <c r="C7" t="s">
        <v>227</v>
      </c>
      <c r="D7" t="s">
        <v>232</v>
      </c>
      <c r="E7" t="s">
        <v>688</v>
      </c>
      <c r="F7" t="s">
        <v>688</v>
      </c>
      <c r="G7" t="s">
        <v>692</v>
      </c>
      <c r="H7" t="s">
        <v>263</v>
      </c>
      <c r="J7" s="4" t="b">
        <v>0</v>
      </c>
      <c r="K7" s="4" t="b">
        <v>0</v>
      </c>
    </row>
    <row r="8" spans="1:24" x14ac:dyDescent="0.35">
      <c r="A8" t="s">
        <v>56</v>
      </c>
      <c r="B8" t="s">
        <v>225</v>
      </c>
      <c r="C8" t="s">
        <v>227</v>
      </c>
      <c r="D8" t="s">
        <v>232</v>
      </c>
      <c r="E8" t="s">
        <v>689</v>
      </c>
      <c r="F8" t="s">
        <v>689</v>
      </c>
      <c r="G8" t="s">
        <v>279</v>
      </c>
      <c r="H8" t="s">
        <v>263</v>
      </c>
      <c r="J8" s="4" t="b">
        <v>0</v>
      </c>
      <c r="K8" s="4" t="b">
        <v>0</v>
      </c>
    </row>
  </sheetData>
  <autoFilter ref="A1:X8" xr:uid="{00000000-0009-0000-0000-00002A000000}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20.7265625" customWidth="1"/>
    <col min="2" max="2" width="28.7265625" customWidth="1"/>
    <col min="3" max="3" width="24.7265625" customWidth="1"/>
    <col min="4" max="4" width="38.7265625" customWidth="1"/>
    <col min="5" max="5" width="40.7265625" customWidth="1"/>
    <col min="6" max="6" width="24.7265625" customWidth="1"/>
    <col min="7" max="7" width="30.7265625" customWidth="1"/>
    <col min="8" max="8" width="12.7265625" customWidth="1"/>
    <col min="9" max="9" width="10.7265625" customWidth="1"/>
    <col min="10" max="11" width="9.7265625" style="4" customWidth="1"/>
    <col min="12" max="12" width="14.7265625" customWidth="1"/>
    <col min="13" max="14" width="28.7265625" style="1" customWidth="1"/>
    <col min="15" max="15" width="20.7265625" style="1" customWidth="1"/>
    <col min="16" max="16" width="22.7265625" style="1" customWidth="1"/>
    <col min="17" max="18" width="10.7265625" customWidth="1"/>
    <col min="19" max="19" width="16.7265625" customWidth="1"/>
    <col min="20" max="21" width="16.7265625" style="1" customWidth="1"/>
    <col min="22" max="22" width="44.7265625" style="1" customWidth="1"/>
    <col min="23" max="24" width="20.7265625" customWidth="1"/>
  </cols>
  <sheetData>
    <row r="1" spans="1:2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</row>
    <row r="2" spans="1:24" ht="406" x14ac:dyDescent="0.35">
      <c r="A2" t="s">
        <v>57</v>
      </c>
      <c r="B2" t="s">
        <v>226</v>
      </c>
      <c r="C2" t="s">
        <v>230</v>
      </c>
      <c r="D2" t="s">
        <v>235</v>
      </c>
      <c r="E2" t="s">
        <v>697</v>
      </c>
      <c r="F2" t="s">
        <v>697</v>
      </c>
      <c r="G2" t="s">
        <v>340</v>
      </c>
      <c r="H2" t="s">
        <v>263</v>
      </c>
      <c r="J2" s="4" t="b">
        <v>0</v>
      </c>
      <c r="K2" s="4" t="b">
        <v>0</v>
      </c>
      <c r="M2" s="1" t="s">
        <v>346</v>
      </c>
      <c r="N2" s="1" t="s">
        <v>352</v>
      </c>
    </row>
    <row r="3" spans="1:24" x14ac:dyDescent="0.35">
      <c r="A3" t="s">
        <v>57</v>
      </c>
      <c r="B3" t="s">
        <v>226</v>
      </c>
      <c r="C3" t="s">
        <v>230</v>
      </c>
      <c r="D3" t="s">
        <v>235</v>
      </c>
      <c r="E3" t="s">
        <v>698</v>
      </c>
      <c r="F3" t="s">
        <v>698</v>
      </c>
      <c r="G3" t="s">
        <v>700</v>
      </c>
      <c r="H3" t="s">
        <v>264</v>
      </c>
      <c r="J3" s="4" t="b">
        <v>0</v>
      </c>
      <c r="K3" s="4" t="b">
        <v>0</v>
      </c>
      <c r="Q3">
        <v>0</v>
      </c>
    </row>
    <row r="4" spans="1:24" ht="29" x14ac:dyDescent="0.35">
      <c r="A4" t="s">
        <v>57</v>
      </c>
      <c r="B4" t="s">
        <v>226</v>
      </c>
      <c r="C4" t="s">
        <v>230</v>
      </c>
      <c r="D4" t="s">
        <v>235</v>
      </c>
      <c r="E4" t="s">
        <v>699</v>
      </c>
      <c r="F4" t="s">
        <v>699</v>
      </c>
      <c r="G4" t="s">
        <v>701</v>
      </c>
      <c r="H4" t="s">
        <v>263</v>
      </c>
      <c r="J4" s="4" t="b">
        <v>0</v>
      </c>
      <c r="K4" s="4" t="b">
        <v>0</v>
      </c>
      <c r="M4" s="1" t="s">
        <v>403</v>
      </c>
      <c r="N4" s="1" t="s">
        <v>406</v>
      </c>
    </row>
  </sheetData>
  <autoFilter ref="A1:X4" xr:uid="{00000000-0009-0000-0000-00002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Index</vt:lpstr>
      <vt:lpstr>accident_rep</vt:lpstr>
      <vt:lpstr>acoustic_detection</vt:lpstr>
      <vt:lpstr>activity_rep</vt:lpstr>
      <vt:lpstr>all_posts</vt:lpstr>
      <vt:lpstr>animal_control_rep</vt:lpstr>
      <vt:lpstr>arrest_rep</vt:lpstr>
      <vt:lpstr>cameratrap_rep</vt:lpstr>
      <vt:lpstr>carcass_rep</vt:lpstr>
      <vt:lpstr>confiscation_rep</vt:lpstr>
      <vt:lpstr>contact_rep</vt:lpstr>
      <vt:lpstr>entry_alert_rep</vt:lpstr>
      <vt:lpstr>fence_rep</vt:lpstr>
      <vt:lpstr>fire_rep</vt:lpstr>
      <vt:lpstr>geofence_break</vt:lpstr>
      <vt:lpstr>gfw_activefire_alert</vt:lpstr>
      <vt:lpstr>gfw_glad_alert</vt:lpstr>
      <vt:lpstr>hwc_rep</vt:lpstr>
      <vt:lpstr>immobility</vt:lpstr>
      <vt:lpstr>immobility_all_clear</vt:lpstr>
      <vt:lpstr>incident_collection</vt:lpstr>
      <vt:lpstr>injured_animal_rep</vt:lpstr>
      <vt:lpstr>invasive_species_rep</vt:lpstr>
      <vt:lpstr>light_rep</vt:lpstr>
      <vt:lpstr>low_speed_percentile</vt:lpstr>
      <vt:lpstr>low_speed_wilcoxon</vt:lpstr>
      <vt:lpstr>low_speed_wilcoxon_all_clear</vt:lpstr>
      <vt:lpstr>medevac_rep</vt:lpstr>
      <vt:lpstr>mist_rep</vt:lpstr>
      <vt:lpstr>poacher_camp_rep</vt:lpstr>
      <vt:lpstr>proximity</vt:lpstr>
      <vt:lpstr>radio_rep</vt:lpstr>
      <vt:lpstr>rainfall_rep</vt:lpstr>
      <vt:lpstr>ranger_shot_rep</vt:lpstr>
      <vt:lpstr>rhino_sighting_rep</vt:lpstr>
      <vt:lpstr>shot_rep</vt:lpstr>
      <vt:lpstr>silence_source_provider_rep</vt:lpstr>
      <vt:lpstr>silence_source_rep</vt:lpstr>
      <vt:lpstr>sit_rep</vt:lpstr>
      <vt:lpstr>snare_rep</vt:lpstr>
      <vt:lpstr>spoor_rep</vt:lpstr>
      <vt:lpstr>subject_proximity</vt:lpstr>
      <vt:lpstr>traffic_rep</vt:lpstr>
      <vt:lpstr>wildlife_sighting_rep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Derrick Ongwae</cp:lastModifiedBy>
  <dcterms:created xsi:type="dcterms:W3CDTF">2026-01-14T14:17:12Z</dcterms:created>
  <dcterms:modified xsi:type="dcterms:W3CDTF">2026-02-12T08:13:48Z</dcterms:modified>
</cp:coreProperties>
</file>